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cho\Downloads\"/>
    </mc:Choice>
  </mc:AlternateContent>
  <xr:revisionPtr revIDLastSave="0" documentId="8_{01E567CC-7988-4121-977E-FDB92D3937D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hecklist" sheetId="1" r:id="rId1"/>
    <sheet name="Calculator" sheetId="2" r:id="rId2"/>
    <sheet name="List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M456" i="1" s="1"/>
  <c r="H455" i="1"/>
  <c r="H454" i="1"/>
  <c r="H453" i="1"/>
  <c r="H452" i="1"/>
  <c r="H451" i="1"/>
  <c r="H450" i="1"/>
  <c r="K450" i="1" s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L189" i="1" s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N42" i="1" s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M434" i="1" l="1"/>
  <c r="K434" i="1"/>
  <c r="L434" i="1"/>
  <c r="I434" i="1"/>
  <c r="N434" i="1"/>
  <c r="J434" i="1"/>
  <c r="I336" i="1"/>
  <c r="L336" i="1"/>
  <c r="K336" i="1"/>
  <c r="N336" i="1"/>
  <c r="J336" i="1"/>
  <c r="M336" i="1"/>
  <c r="N238" i="1"/>
  <c r="K238" i="1"/>
  <c r="M238" i="1"/>
  <c r="L238" i="1"/>
  <c r="N140" i="1"/>
  <c r="M140" i="1"/>
  <c r="L140" i="1"/>
  <c r="M527" i="1"/>
  <c r="L527" i="1"/>
  <c r="K527" i="1"/>
  <c r="J527" i="1"/>
  <c r="I527" i="1"/>
  <c r="O527" i="1" s="1"/>
  <c r="M526" i="1"/>
  <c r="L526" i="1"/>
  <c r="K526" i="1"/>
  <c r="J526" i="1"/>
  <c r="I526" i="1"/>
  <c r="O526" i="1" s="1"/>
  <c r="M525" i="1"/>
  <c r="J525" i="1"/>
  <c r="K525" i="1"/>
  <c r="I525" i="1"/>
  <c r="L525" i="1"/>
  <c r="N525" i="1"/>
  <c r="M524" i="1"/>
  <c r="K524" i="1"/>
  <c r="J524" i="1"/>
  <c r="L524" i="1"/>
  <c r="I524" i="1"/>
  <c r="N524" i="1"/>
  <c r="J523" i="1"/>
  <c r="I523" i="1"/>
  <c r="N523" i="1"/>
  <c r="L523" i="1"/>
  <c r="M523" i="1"/>
  <c r="K523" i="1"/>
  <c r="J522" i="1"/>
  <c r="I522" i="1"/>
  <c r="L522" i="1"/>
  <c r="M522" i="1"/>
  <c r="K522" i="1"/>
  <c r="N522" i="1"/>
  <c r="J521" i="1"/>
  <c r="K521" i="1"/>
  <c r="L521" i="1"/>
  <c r="N521" i="1"/>
  <c r="I521" i="1"/>
  <c r="M521" i="1"/>
  <c r="J520" i="1"/>
  <c r="N520" i="1"/>
  <c r="I520" i="1"/>
  <c r="K520" i="1"/>
  <c r="L520" i="1"/>
  <c r="M520" i="1"/>
  <c r="J519" i="1"/>
  <c r="N519" i="1"/>
  <c r="I519" i="1"/>
  <c r="K519" i="1"/>
  <c r="L519" i="1"/>
  <c r="M519" i="1"/>
  <c r="N518" i="1"/>
  <c r="K518" i="1"/>
  <c r="L518" i="1"/>
  <c r="M518" i="1"/>
  <c r="I518" i="1"/>
  <c r="J518" i="1"/>
  <c r="M517" i="1"/>
  <c r="L517" i="1"/>
  <c r="N517" i="1"/>
  <c r="K517" i="1"/>
  <c r="J517" i="1"/>
  <c r="I517" i="1"/>
  <c r="O517" i="1" s="1"/>
  <c r="M516" i="1"/>
  <c r="L516" i="1"/>
  <c r="K516" i="1"/>
  <c r="J516" i="1"/>
  <c r="I516" i="1"/>
  <c r="N516" i="1"/>
  <c r="K515" i="1"/>
  <c r="J515" i="1"/>
  <c r="I515" i="1"/>
  <c r="N515" i="1"/>
  <c r="L515" i="1"/>
  <c r="M515" i="1"/>
  <c r="N514" i="1"/>
  <c r="M514" i="1"/>
  <c r="J514" i="1"/>
  <c r="I514" i="1"/>
  <c r="K514" i="1"/>
  <c r="L514" i="1"/>
  <c r="L513" i="1"/>
  <c r="M513" i="1"/>
  <c r="N513" i="1"/>
  <c r="I513" i="1"/>
  <c r="J513" i="1"/>
  <c r="K513" i="1"/>
  <c r="I512" i="1"/>
  <c r="M512" i="1"/>
  <c r="L512" i="1"/>
  <c r="K512" i="1"/>
  <c r="N512" i="1"/>
  <c r="J512" i="1"/>
  <c r="N511" i="1"/>
  <c r="J511" i="1"/>
  <c r="K511" i="1"/>
  <c r="M511" i="1"/>
  <c r="L511" i="1"/>
  <c r="I511" i="1"/>
  <c r="O511" i="1" s="1"/>
  <c r="L510" i="1"/>
  <c r="K510" i="1"/>
  <c r="I510" i="1"/>
  <c r="J510" i="1"/>
  <c r="M510" i="1"/>
  <c r="N510" i="1"/>
  <c r="J509" i="1"/>
  <c r="I509" i="1"/>
  <c r="K509" i="1"/>
  <c r="N509" i="1"/>
  <c r="M509" i="1"/>
  <c r="L509" i="1"/>
  <c r="N508" i="1"/>
  <c r="I508" i="1"/>
  <c r="J508" i="1"/>
  <c r="M508" i="1"/>
  <c r="K508" i="1"/>
  <c r="L508" i="1"/>
  <c r="M507" i="1"/>
  <c r="I507" i="1"/>
  <c r="J507" i="1"/>
  <c r="K507" i="1"/>
  <c r="L507" i="1"/>
  <c r="N507" i="1"/>
  <c r="N506" i="1"/>
  <c r="I506" i="1"/>
  <c r="J506" i="1"/>
  <c r="L506" i="1"/>
  <c r="M506" i="1"/>
  <c r="K506" i="1"/>
  <c r="N505" i="1"/>
  <c r="M505" i="1"/>
  <c r="L505" i="1"/>
  <c r="K505" i="1"/>
  <c r="J505" i="1"/>
  <c r="I505" i="1"/>
  <c r="O505" i="1" s="1"/>
  <c r="I504" i="1"/>
  <c r="K504" i="1"/>
  <c r="L504" i="1"/>
  <c r="M504" i="1"/>
  <c r="N504" i="1"/>
  <c r="J504" i="1"/>
  <c r="N503" i="1"/>
  <c r="J503" i="1"/>
  <c r="I503" i="1"/>
  <c r="K503" i="1"/>
  <c r="L503" i="1"/>
  <c r="M503" i="1"/>
  <c r="L502" i="1"/>
  <c r="N502" i="1"/>
  <c r="K502" i="1"/>
  <c r="I502" i="1"/>
  <c r="J502" i="1"/>
  <c r="M502" i="1"/>
  <c r="I501" i="1"/>
  <c r="M501" i="1"/>
  <c r="J501" i="1"/>
  <c r="L501" i="1"/>
  <c r="N501" i="1"/>
  <c r="K501" i="1"/>
  <c r="K500" i="1"/>
  <c r="N500" i="1"/>
  <c r="M500" i="1"/>
  <c r="J500" i="1"/>
  <c r="L500" i="1"/>
  <c r="I500" i="1"/>
  <c r="O500" i="1" s="1"/>
  <c r="I499" i="1"/>
  <c r="M499" i="1"/>
  <c r="J499" i="1"/>
  <c r="K499" i="1"/>
  <c r="N499" i="1"/>
  <c r="L499" i="1"/>
  <c r="M498" i="1"/>
  <c r="L498" i="1"/>
  <c r="N498" i="1"/>
  <c r="K498" i="1"/>
  <c r="I498" i="1"/>
  <c r="J498" i="1"/>
  <c r="I497" i="1"/>
  <c r="J497" i="1"/>
  <c r="K497" i="1"/>
  <c r="L497" i="1"/>
  <c r="M497" i="1"/>
  <c r="N497" i="1"/>
  <c r="K496" i="1"/>
  <c r="N496" i="1"/>
  <c r="M496" i="1"/>
  <c r="L496" i="1"/>
  <c r="J496" i="1"/>
  <c r="I496" i="1"/>
  <c r="O496" i="1" s="1"/>
  <c r="K495" i="1"/>
  <c r="J495" i="1"/>
  <c r="L495" i="1"/>
  <c r="I495" i="1"/>
  <c r="N495" i="1"/>
  <c r="M495" i="1"/>
  <c r="N494" i="1"/>
  <c r="M494" i="1"/>
  <c r="K494" i="1"/>
  <c r="J494" i="1"/>
  <c r="L494" i="1"/>
  <c r="I494" i="1"/>
  <c r="O494" i="1" s="1"/>
  <c r="J493" i="1"/>
  <c r="N493" i="1"/>
  <c r="M493" i="1"/>
  <c r="L493" i="1"/>
  <c r="K493" i="1"/>
  <c r="I493" i="1"/>
  <c r="O493" i="1" s="1"/>
  <c r="I492" i="1"/>
  <c r="J492" i="1"/>
  <c r="N492" i="1"/>
  <c r="M492" i="1"/>
  <c r="K492" i="1"/>
  <c r="L492" i="1"/>
  <c r="K491" i="1"/>
  <c r="L491" i="1"/>
  <c r="J491" i="1"/>
  <c r="I491" i="1"/>
  <c r="N491" i="1"/>
  <c r="M491" i="1"/>
  <c r="M490" i="1"/>
  <c r="L490" i="1"/>
  <c r="J490" i="1"/>
  <c r="I490" i="1"/>
  <c r="N490" i="1"/>
  <c r="K490" i="1"/>
  <c r="I489" i="1"/>
  <c r="J489" i="1"/>
  <c r="L489" i="1"/>
  <c r="M489" i="1"/>
  <c r="N489" i="1"/>
  <c r="K489" i="1"/>
  <c r="N488" i="1"/>
  <c r="K488" i="1"/>
  <c r="I488" i="1"/>
  <c r="J488" i="1"/>
  <c r="L488" i="1"/>
  <c r="M488" i="1"/>
  <c r="I487" i="1"/>
  <c r="N487" i="1"/>
  <c r="M487" i="1"/>
  <c r="K487" i="1"/>
  <c r="J487" i="1"/>
  <c r="L487" i="1"/>
  <c r="M486" i="1"/>
  <c r="N486" i="1"/>
  <c r="L486" i="1"/>
  <c r="I486" i="1"/>
  <c r="J486" i="1"/>
  <c r="K486" i="1"/>
  <c r="K485" i="1"/>
  <c r="J485" i="1"/>
  <c r="I485" i="1"/>
  <c r="M485" i="1"/>
  <c r="N485" i="1"/>
  <c r="L485" i="1"/>
  <c r="L484" i="1"/>
  <c r="K484" i="1"/>
  <c r="N484" i="1"/>
  <c r="M484" i="1"/>
  <c r="I484" i="1"/>
  <c r="J484" i="1"/>
  <c r="J483" i="1"/>
  <c r="I483" i="1"/>
  <c r="M483" i="1"/>
  <c r="L483" i="1"/>
  <c r="K483" i="1"/>
  <c r="N483" i="1"/>
  <c r="I482" i="1"/>
  <c r="J482" i="1"/>
  <c r="N482" i="1"/>
  <c r="M482" i="1"/>
  <c r="L482" i="1"/>
  <c r="K482" i="1"/>
  <c r="I481" i="1"/>
  <c r="M481" i="1"/>
  <c r="L481" i="1"/>
  <c r="K481" i="1"/>
  <c r="J481" i="1"/>
  <c r="N481" i="1"/>
  <c r="N480" i="1"/>
  <c r="M480" i="1"/>
  <c r="J480" i="1"/>
  <c r="K480" i="1"/>
  <c r="L480" i="1"/>
  <c r="I480" i="1"/>
  <c r="O480" i="1" s="1"/>
  <c r="I479" i="1"/>
  <c r="M479" i="1"/>
  <c r="N479" i="1"/>
  <c r="L479" i="1"/>
  <c r="K479" i="1"/>
  <c r="J479" i="1"/>
  <c r="L478" i="1"/>
  <c r="N478" i="1"/>
  <c r="K478" i="1"/>
  <c r="I478" i="1"/>
  <c r="J478" i="1"/>
  <c r="M478" i="1"/>
  <c r="K477" i="1"/>
  <c r="L477" i="1"/>
  <c r="M477" i="1"/>
  <c r="N477" i="1"/>
  <c r="I477" i="1"/>
  <c r="J477" i="1"/>
  <c r="L476" i="1"/>
  <c r="M476" i="1"/>
  <c r="I476" i="1"/>
  <c r="J476" i="1"/>
  <c r="K476" i="1"/>
  <c r="N476" i="1"/>
  <c r="K475" i="1"/>
  <c r="L475" i="1"/>
  <c r="M475" i="1"/>
  <c r="N475" i="1"/>
  <c r="J475" i="1"/>
  <c r="I475" i="1"/>
  <c r="O475" i="1" s="1"/>
  <c r="L474" i="1"/>
  <c r="M474" i="1"/>
  <c r="N474" i="1"/>
  <c r="I474" i="1"/>
  <c r="J474" i="1"/>
  <c r="K474" i="1"/>
  <c r="J473" i="1"/>
  <c r="K473" i="1"/>
  <c r="L473" i="1"/>
  <c r="I473" i="1"/>
  <c r="M473" i="1"/>
  <c r="N473" i="1"/>
  <c r="J472" i="1"/>
  <c r="M472" i="1"/>
  <c r="K472" i="1"/>
  <c r="N472" i="1"/>
  <c r="I472" i="1"/>
  <c r="L472" i="1"/>
  <c r="N471" i="1"/>
  <c r="M471" i="1"/>
  <c r="L471" i="1"/>
  <c r="J471" i="1"/>
  <c r="K471" i="1"/>
  <c r="I471" i="1"/>
  <c r="O471" i="1" s="1"/>
  <c r="J470" i="1"/>
  <c r="L470" i="1"/>
  <c r="M470" i="1"/>
  <c r="N470" i="1"/>
  <c r="K470" i="1"/>
  <c r="I470" i="1"/>
  <c r="O470" i="1" s="1"/>
  <c r="L469" i="1"/>
  <c r="M469" i="1"/>
  <c r="J469" i="1"/>
  <c r="K469" i="1"/>
  <c r="I469" i="1"/>
  <c r="N469" i="1"/>
  <c r="L468" i="1"/>
  <c r="J468" i="1"/>
  <c r="N468" i="1"/>
  <c r="I468" i="1"/>
  <c r="K468" i="1"/>
  <c r="M468" i="1"/>
  <c r="L467" i="1"/>
  <c r="J467" i="1"/>
  <c r="M467" i="1"/>
  <c r="I467" i="1"/>
  <c r="K467" i="1"/>
  <c r="N467" i="1"/>
  <c r="J466" i="1"/>
  <c r="K466" i="1"/>
  <c r="I466" i="1"/>
  <c r="M466" i="1"/>
  <c r="L466" i="1"/>
  <c r="N466" i="1"/>
  <c r="J465" i="1"/>
  <c r="K465" i="1"/>
  <c r="M465" i="1"/>
  <c r="I465" i="1"/>
  <c r="L465" i="1"/>
  <c r="N465" i="1"/>
  <c r="J464" i="1"/>
  <c r="M464" i="1"/>
  <c r="N464" i="1"/>
  <c r="L464" i="1"/>
  <c r="I464" i="1"/>
  <c r="K464" i="1"/>
  <c r="M463" i="1"/>
  <c r="K463" i="1"/>
  <c r="I463" i="1"/>
  <c r="N463" i="1"/>
  <c r="J463" i="1"/>
  <c r="L463" i="1"/>
  <c r="I462" i="1"/>
  <c r="J462" i="1"/>
  <c r="N462" i="1"/>
  <c r="M462" i="1"/>
  <c r="L462" i="1"/>
  <c r="K462" i="1"/>
  <c r="M461" i="1"/>
  <c r="J461" i="1"/>
  <c r="I461" i="1"/>
  <c r="L461" i="1"/>
  <c r="K461" i="1"/>
  <c r="N461" i="1"/>
  <c r="K460" i="1"/>
  <c r="M460" i="1"/>
  <c r="I460" i="1"/>
  <c r="N460" i="1"/>
  <c r="L460" i="1"/>
  <c r="J460" i="1"/>
  <c r="J459" i="1"/>
  <c r="N459" i="1"/>
  <c r="L459" i="1"/>
  <c r="M459" i="1"/>
  <c r="K459" i="1"/>
  <c r="I459" i="1"/>
  <c r="L458" i="1"/>
  <c r="N458" i="1"/>
  <c r="I458" i="1"/>
  <c r="K458" i="1"/>
  <c r="M458" i="1"/>
  <c r="J458" i="1"/>
  <c r="J457" i="1"/>
  <c r="I457" i="1"/>
  <c r="K457" i="1"/>
  <c r="M457" i="1"/>
  <c r="N457" i="1"/>
  <c r="L457" i="1"/>
  <c r="I456" i="1"/>
  <c r="J456" i="1"/>
  <c r="L456" i="1"/>
  <c r="N456" i="1"/>
  <c r="K456" i="1"/>
  <c r="J455" i="1"/>
  <c r="N455" i="1"/>
  <c r="L455" i="1"/>
  <c r="M455" i="1"/>
  <c r="K455" i="1"/>
  <c r="I455" i="1"/>
  <c r="O455" i="1" s="1"/>
  <c r="K454" i="1"/>
  <c r="M454" i="1"/>
  <c r="J454" i="1"/>
  <c r="L454" i="1"/>
  <c r="N454" i="1"/>
  <c r="I454" i="1"/>
  <c r="O454" i="1" s="1"/>
  <c r="J453" i="1"/>
  <c r="M453" i="1"/>
  <c r="N453" i="1"/>
  <c r="L453" i="1"/>
  <c r="K453" i="1"/>
  <c r="I453" i="1"/>
  <c r="O453" i="1" s="1"/>
  <c r="J452" i="1"/>
  <c r="M452" i="1"/>
  <c r="N452" i="1"/>
  <c r="L452" i="1"/>
  <c r="K452" i="1"/>
  <c r="I452" i="1"/>
  <c r="O452" i="1" s="1"/>
  <c r="J451" i="1"/>
  <c r="L451" i="1"/>
  <c r="N451" i="1"/>
  <c r="M451" i="1"/>
  <c r="K451" i="1"/>
  <c r="I451" i="1"/>
  <c r="O451" i="1" s="1"/>
  <c r="N450" i="1"/>
  <c r="M450" i="1"/>
  <c r="I450" i="1"/>
  <c r="J450" i="1"/>
  <c r="L450" i="1"/>
  <c r="I449" i="1"/>
  <c r="J449" i="1"/>
  <c r="N449" i="1"/>
  <c r="M449" i="1"/>
  <c r="L449" i="1"/>
  <c r="K449" i="1"/>
  <c r="I448" i="1"/>
  <c r="L448" i="1"/>
  <c r="J448" i="1"/>
  <c r="K448" i="1"/>
  <c r="M448" i="1"/>
  <c r="N448" i="1"/>
  <c r="N447" i="1"/>
  <c r="M447" i="1"/>
  <c r="L447" i="1"/>
  <c r="I447" i="1"/>
  <c r="J447" i="1"/>
  <c r="K447" i="1"/>
  <c r="N446" i="1"/>
  <c r="L446" i="1"/>
  <c r="J446" i="1"/>
  <c r="K446" i="1"/>
  <c r="M446" i="1"/>
  <c r="I446" i="1"/>
  <c r="O446" i="1" s="1"/>
  <c r="K445" i="1"/>
  <c r="M445" i="1"/>
  <c r="L445" i="1"/>
  <c r="I445" i="1"/>
  <c r="J445" i="1"/>
  <c r="N445" i="1"/>
  <c r="L444" i="1"/>
  <c r="N444" i="1"/>
  <c r="K444" i="1"/>
  <c r="J444" i="1"/>
  <c r="M444" i="1"/>
  <c r="I444" i="1"/>
  <c r="O444" i="1" s="1"/>
  <c r="I443" i="1"/>
  <c r="K443" i="1"/>
  <c r="N443" i="1"/>
  <c r="M443" i="1"/>
  <c r="J443" i="1"/>
  <c r="L443" i="1"/>
  <c r="K442" i="1"/>
  <c r="J442" i="1"/>
  <c r="M442" i="1"/>
  <c r="I442" i="1"/>
  <c r="N442" i="1"/>
  <c r="L442" i="1"/>
  <c r="K441" i="1"/>
  <c r="I441" i="1"/>
  <c r="L441" i="1"/>
  <c r="J441" i="1"/>
  <c r="N441" i="1"/>
  <c r="M441" i="1"/>
  <c r="I440" i="1"/>
  <c r="L440" i="1"/>
  <c r="K440" i="1"/>
  <c r="N440" i="1"/>
  <c r="M440" i="1"/>
  <c r="J440" i="1"/>
  <c r="M439" i="1"/>
  <c r="J439" i="1"/>
  <c r="L439" i="1"/>
  <c r="N439" i="1"/>
  <c r="K439" i="1"/>
  <c r="I439" i="1"/>
  <c r="O439" i="1" s="1"/>
  <c r="M438" i="1"/>
  <c r="I438" i="1"/>
  <c r="K438" i="1"/>
  <c r="N438" i="1"/>
  <c r="L438" i="1"/>
  <c r="J438" i="1"/>
  <c r="I437" i="1"/>
  <c r="M437" i="1"/>
  <c r="K437" i="1"/>
  <c r="N437" i="1"/>
  <c r="L437" i="1"/>
  <c r="J437" i="1"/>
  <c r="I436" i="1"/>
  <c r="J436" i="1"/>
  <c r="N436" i="1"/>
  <c r="L436" i="1"/>
  <c r="M436" i="1"/>
  <c r="K436" i="1"/>
  <c r="M435" i="1"/>
  <c r="J435" i="1"/>
  <c r="N435" i="1"/>
  <c r="K435" i="1"/>
  <c r="L435" i="1"/>
  <c r="I435" i="1"/>
  <c r="O435" i="1" s="1"/>
  <c r="I433" i="1"/>
  <c r="J433" i="1"/>
  <c r="K433" i="1"/>
  <c r="N433" i="1"/>
  <c r="M433" i="1"/>
  <c r="L433" i="1"/>
  <c r="K432" i="1"/>
  <c r="N432" i="1"/>
  <c r="L432" i="1"/>
  <c r="J432" i="1"/>
  <c r="I432" i="1"/>
  <c r="M432" i="1"/>
  <c r="J431" i="1"/>
  <c r="K431" i="1"/>
  <c r="L431" i="1"/>
  <c r="M431" i="1"/>
  <c r="N431" i="1"/>
  <c r="I431" i="1"/>
  <c r="O431" i="1" s="1"/>
  <c r="I430" i="1"/>
  <c r="K430" i="1"/>
  <c r="J430" i="1"/>
  <c r="L430" i="1"/>
  <c r="N430" i="1"/>
  <c r="M430" i="1"/>
  <c r="N429" i="1"/>
  <c r="M429" i="1"/>
  <c r="L429" i="1"/>
  <c r="K429" i="1"/>
  <c r="J429" i="1"/>
  <c r="I429" i="1"/>
  <c r="O429" i="1" s="1"/>
  <c r="I428" i="1"/>
  <c r="J428" i="1"/>
  <c r="K428" i="1"/>
  <c r="L428" i="1"/>
  <c r="N428" i="1"/>
  <c r="M428" i="1"/>
  <c r="N427" i="1"/>
  <c r="L427" i="1"/>
  <c r="K427" i="1"/>
  <c r="J427" i="1"/>
  <c r="I427" i="1"/>
  <c r="M427" i="1"/>
  <c r="J426" i="1"/>
  <c r="N426" i="1"/>
  <c r="M426" i="1"/>
  <c r="L426" i="1"/>
  <c r="K426" i="1"/>
  <c r="I426" i="1"/>
  <c r="O426" i="1" s="1"/>
  <c r="N425" i="1"/>
  <c r="M425" i="1"/>
  <c r="L425" i="1"/>
  <c r="K425" i="1"/>
  <c r="J425" i="1"/>
  <c r="I425" i="1"/>
  <c r="O425" i="1" s="1"/>
  <c r="I424" i="1"/>
  <c r="J424" i="1"/>
  <c r="M424" i="1"/>
  <c r="N424" i="1"/>
  <c r="K424" i="1"/>
  <c r="L424" i="1"/>
  <c r="M423" i="1"/>
  <c r="N423" i="1"/>
  <c r="I423" i="1"/>
  <c r="J423" i="1"/>
  <c r="L423" i="1"/>
  <c r="K423" i="1"/>
  <c r="M422" i="1"/>
  <c r="J422" i="1"/>
  <c r="N422" i="1"/>
  <c r="L422" i="1"/>
  <c r="K422" i="1"/>
  <c r="I422" i="1"/>
  <c r="O422" i="1" s="1"/>
  <c r="K421" i="1"/>
  <c r="N421" i="1"/>
  <c r="L421" i="1"/>
  <c r="M421" i="1"/>
  <c r="I421" i="1"/>
  <c r="J421" i="1"/>
  <c r="K420" i="1"/>
  <c r="L420" i="1"/>
  <c r="M420" i="1"/>
  <c r="N420" i="1"/>
  <c r="J420" i="1"/>
  <c r="I420" i="1"/>
  <c r="O420" i="1" s="1"/>
  <c r="K419" i="1"/>
  <c r="N419" i="1"/>
  <c r="M419" i="1"/>
  <c r="L419" i="1"/>
  <c r="J419" i="1"/>
  <c r="I419" i="1"/>
  <c r="O419" i="1" s="1"/>
  <c r="J418" i="1"/>
  <c r="I418" i="1"/>
  <c r="M418" i="1"/>
  <c r="N418" i="1"/>
  <c r="L418" i="1"/>
  <c r="K418" i="1"/>
  <c r="I417" i="1"/>
  <c r="J417" i="1"/>
  <c r="K417" i="1"/>
  <c r="L417" i="1"/>
  <c r="M417" i="1"/>
  <c r="N417" i="1"/>
  <c r="M416" i="1"/>
  <c r="N416" i="1"/>
  <c r="I416" i="1"/>
  <c r="K416" i="1"/>
  <c r="L416" i="1"/>
  <c r="J416" i="1"/>
  <c r="I415" i="1"/>
  <c r="M415" i="1"/>
  <c r="N415" i="1"/>
  <c r="L415" i="1"/>
  <c r="K415" i="1"/>
  <c r="J415" i="1"/>
  <c r="N414" i="1"/>
  <c r="M414" i="1"/>
  <c r="L414" i="1"/>
  <c r="K414" i="1"/>
  <c r="J414" i="1"/>
  <c r="I414" i="1"/>
  <c r="O414" i="1" s="1"/>
  <c r="N413" i="1"/>
  <c r="M413" i="1"/>
  <c r="L413" i="1"/>
  <c r="K413" i="1"/>
  <c r="J413" i="1"/>
  <c r="I413" i="1"/>
  <c r="L412" i="1"/>
  <c r="K412" i="1"/>
  <c r="J412" i="1"/>
  <c r="I412" i="1"/>
  <c r="N412" i="1"/>
  <c r="M412" i="1"/>
  <c r="J411" i="1"/>
  <c r="I411" i="1"/>
  <c r="N411" i="1"/>
  <c r="M411" i="1"/>
  <c r="L411" i="1"/>
  <c r="K411" i="1"/>
  <c r="N410" i="1"/>
  <c r="M410" i="1"/>
  <c r="L410" i="1"/>
  <c r="K410" i="1"/>
  <c r="J410" i="1"/>
  <c r="I410" i="1"/>
  <c r="O410" i="1" s="1"/>
  <c r="J409" i="1"/>
  <c r="I409" i="1"/>
  <c r="L409" i="1"/>
  <c r="N409" i="1"/>
  <c r="M409" i="1"/>
  <c r="K409" i="1"/>
  <c r="I408" i="1"/>
  <c r="J408" i="1"/>
  <c r="K408" i="1"/>
  <c r="L408" i="1"/>
  <c r="N408" i="1"/>
  <c r="M408" i="1"/>
  <c r="I407" i="1"/>
  <c r="J407" i="1"/>
  <c r="K407" i="1"/>
  <c r="L407" i="1"/>
  <c r="M407" i="1"/>
  <c r="N407" i="1"/>
  <c r="I406" i="1"/>
  <c r="J406" i="1"/>
  <c r="K406" i="1"/>
  <c r="L406" i="1"/>
  <c r="M406" i="1"/>
  <c r="N406" i="1"/>
  <c r="L405" i="1"/>
  <c r="N405" i="1"/>
  <c r="M405" i="1"/>
  <c r="K405" i="1"/>
  <c r="J405" i="1"/>
  <c r="I405" i="1"/>
  <c r="O405" i="1" s="1"/>
  <c r="I404" i="1"/>
  <c r="J404" i="1"/>
  <c r="N404" i="1"/>
  <c r="M404" i="1"/>
  <c r="L404" i="1"/>
  <c r="K404" i="1"/>
  <c r="J403" i="1"/>
  <c r="K403" i="1"/>
  <c r="L403" i="1"/>
  <c r="M403" i="1"/>
  <c r="N403" i="1"/>
  <c r="I403" i="1"/>
  <c r="O403" i="1" s="1"/>
  <c r="I402" i="1"/>
  <c r="J402" i="1"/>
  <c r="K402" i="1"/>
  <c r="L402" i="1"/>
  <c r="N402" i="1"/>
  <c r="M402" i="1"/>
  <c r="M401" i="1"/>
  <c r="N401" i="1"/>
  <c r="J401" i="1"/>
  <c r="I401" i="1"/>
  <c r="K401" i="1"/>
  <c r="L401" i="1"/>
  <c r="J400" i="1"/>
  <c r="I400" i="1"/>
  <c r="N400" i="1"/>
  <c r="M400" i="1"/>
  <c r="L400" i="1"/>
  <c r="K400" i="1"/>
  <c r="N399" i="1"/>
  <c r="J399" i="1"/>
  <c r="M399" i="1"/>
  <c r="L399" i="1"/>
  <c r="K399" i="1"/>
  <c r="I399" i="1"/>
  <c r="O399" i="1" s="1"/>
  <c r="N398" i="1"/>
  <c r="J398" i="1"/>
  <c r="M398" i="1"/>
  <c r="L398" i="1"/>
  <c r="K398" i="1"/>
  <c r="I398" i="1"/>
  <c r="O398" i="1" s="1"/>
  <c r="L397" i="1"/>
  <c r="K397" i="1"/>
  <c r="J397" i="1"/>
  <c r="I397" i="1"/>
  <c r="N397" i="1"/>
  <c r="M397" i="1"/>
  <c r="J396" i="1"/>
  <c r="I396" i="1"/>
  <c r="N396" i="1"/>
  <c r="M396" i="1"/>
  <c r="L396" i="1"/>
  <c r="K396" i="1"/>
  <c r="J395" i="1"/>
  <c r="I395" i="1"/>
  <c r="N395" i="1"/>
  <c r="M395" i="1"/>
  <c r="L395" i="1"/>
  <c r="K395" i="1"/>
  <c r="J394" i="1"/>
  <c r="N394" i="1"/>
  <c r="M394" i="1"/>
  <c r="L394" i="1"/>
  <c r="I394" i="1"/>
  <c r="K394" i="1"/>
  <c r="K393" i="1"/>
  <c r="L393" i="1"/>
  <c r="M393" i="1"/>
  <c r="I393" i="1"/>
  <c r="J393" i="1"/>
  <c r="N393" i="1"/>
  <c r="K392" i="1"/>
  <c r="I392" i="1"/>
  <c r="J392" i="1"/>
  <c r="L392" i="1"/>
  <c r="M392" i="1"/>
  <c r="N392" i="1"/>
  <c r="J391" i="1"/>
  <c r="I391" i="1"/>
  <c r="K391" i="1"/>
  <c r="M391" i="1"/>
  <c r="N391" i="1"/>
  <c r="L391" i="1"/>
  <c r="J390" i="1"/>
  <c r="I390" i="1"/>
  <c r="N390" i="1"/>
  <c r="M390" i="1"/>
  <c r="L390" i="1"/>
  <c r="K390" i="1"/>
  <c r="N389" i="1"/>
  <c r="M389" i="1"/>
  <c r="L389" i="1"/>
  <c r="K389" i="1"/>
  <c r="J389" i="1"/>
  <c r="I389" i="1"/>
  <c r="O389" i="1" s="1"/>
  <c r="N388" i="1"/>
  <c r="M388" i="1"/>
  <c r="L388" i="1"/>
  <c r="K388" i="1"/>
  <c r="J388" i="1"/>
  <c r="I388" i="1"/>
  <c r="N387" i="1"/>
  <c r="M387" i="1"/>
  <c r="L387" i="1"/>
  <c r="K387" i="1"/>
  <c r="J387" i="1"/>
  <c r="I387" i="1"/>
  <c r="O387" i="1" s="1"/>
  <c r="N386" i="1"/>
  <c r="M386" i="1"/>
  <c r="L386" i="1"/>
  <c r="K386" i="1"/>
  <c r="J386" i="1"/>
  <c r="I386" i="1"/>
  <c r="O386" i="1" s="1"/>
  <c r="N385" i="1"/>
  <c r="M385" i="1"/>
  <c r="L385" i="1"/>
  <c r="K385" i="1"/>
  <c r="J385" i="1"/>
  <c r="I385" i="1"/>
  <c r="O385" i="1" s="1"/>
  <c r="N384" i="1"/>
  <c r="M384" i="1"/>
  <c r="L384" i="1"/>
  <c r="K384" i="1"/>
  <c r="J384" i="1"/>
  <c r="I384" i="1"/>
  <c r="O384" i="1" s="1"/>
  <c r="I383" i="1"/>
  <c r="J383" i="1"/>
  <c r="N383" i="1"/>
  <c r="M383" i="1"/>
  <c r="L383" i="1"/>
  <c r="K383" i="1"/>
  <c r="I382" i="1"/>
  <c r="J382" i="1"/>
  <c r="K382" i="1"/>
  <c r="L382" i="1"/>
  <c r="M382" i="1"/>
  <c r="N382" i="1"/>
  <c r="M381" i="1"/>
  <c r="N381" i="1"/>
  <c r="I381" i="1"/>
  <c r="J381" i="1"/>
  <c r="K381" i="1"/>
  <c r="L381" i="1"/>
  <c r="I380" i="1"/>
  <c r="M380" i="1"/>
  <c r="J380" i="1"/>
  <c r="K380" i="1"/>
  <c r="L380" i="1"/>
  <c r="N380" i="1"/>
  <c r="J379" i="1"/>
  <c r="I379" i="1"/>
  <c r="N379" i="1"/>
  <c r="M379" i="1"/>
  <c r="L379" i="1"/>
  <c r="K379" i="1"/>
  <c r="N378" i="1"/>
  <c r="I378" i="1"/>
  <c r="J378" i="1"/>
  <c r="K378" i="1"/>
  <c r="L378" i="1"/>
  <c r="M378" i="1"/>
  <c r="J377" i="1"/>
  <c r="I377" i="1"/>
  <c r="N377" i="1"/>
  <c r="K377" i="1"/>
  <c r="L377" i="1"/>
  <c r="M377" i="1"/>
  <c r="N376" i="1"/>
  <c r="M376" i="1"/>
  <c r="I376" i="1"/>
  <c r="J376" i="1"/>
  <c r="L376" i="1"/>
  <c r="K376" i="1"/>
  <c r="N375" i="1"/>
  <c r="M375" i="1"/>
  <c r="L375" i="1"/>
  <c r="K375" i="1"/>
  <c r="J375" i="1"/>
  <c r="I375" i="1"/>
  <c r="O375" i="1" s="1"/>
  <c r="M374" i="1"/>
  <c r="I374" i="1"/>
  <c r="J374" i="1"/>
  <c r="K374" i="1"/>
  <c r="N374" i="1"/>
  <c r="L374" i="1"/>
  <c r="L373" i="1"/>
  <c r="N373" i="1"/>
  <c r="K373" i="1"/>
  <c r="J373" i="1"/>
  <c r="I373" i="1"/>
  <c r="M373" i="1"/>
  <c r="K372" i="1"/>
  <c r="I372" i="1"/>
  <c r="J372" i="1"/>
  <c r="L372" i="1"/>
  <c r="M372" i="1"/>
  <c r="N372" i="1"/>
  <c r="N371" i="1"/>
  <c r="M371" i="1"/>
  <c r="L371" i="1"/>
  <c r="K371" i="1"/>
  <c r="J371" i="1"/>
  <c r="I371" i="1"/>
  <c r="O371" i="1" s="1"/>
  <c r="J370" i="1"/>
  <c r="K370" i="1"/>
  <c r="I370" i="1"/>
  <c r="N370" i="1"/>
  <c r="L370" i="1"/>
  <c r="M370" i="1"/>
  <c r="L369" i="1"/>
  <c r="M369" i="1"/>
  <c r="N369" i="1"/>
  <c r="I369" i="1"/>
  <c r="J369" i="1"/>
  <c r="K369" i="1"/>
  <c r="L368" i="1"/>
  <c r="I368" i="1"/>
  <c r="M368" i="1"/>
  <c r="J368" i="1"/>
  <c r="K368" i="1"/>
  <c r="N368" i="1"/>
  <c r="M367" i="1"/>
  <c r="K367" i="1"/>
  <c r="N367" i="1"/>
  <c r="I367" i="1"/>
  <c r="L367" i="1"/>
  <c r="J367" i="1"/>
  <c r="N366" i="1"/>
  <c r="M366" i="1"/>
  <c r="I366" i="1"/>
  <c r="J366" i="1"/>
  <c r="K366" i="1"/>
  <c r="L366" i="1"/>
  <c r="M365" i="1"/>
  <c r="N365" i="1"/>
  <c r="K365" i="1"/>
  <c r="J365" i="1"/>
  <c r="I365" i="1"/>
  <c r="L365" i="1"/>
  <c r="N364" i="1"/>
  <c r="M364" i="1"/>
  <c r="J364" i="1"/>
  <c r="K364" i="1"/>
  <c r="L364" i="1"/>
  <c r="I364" i="1"/>
  <c r="O364" i="1" s="1"/>
  <c r="M363" i="1"/>
  <c r="J363" i="1"/>
  <c r="I363" i="1"/>
  <c r="K363" i="1"/>
  <c r="L363" i="1"/>
  <c r="N363" i="1"/>
  <c r="L362" i="1"/>
  <c r="K362" i="1"/>
  <c r="I362" i="1"/>
  <c r="J362" i="1"/>
  <c r="M362" i="1"/>
  <c r="N362" i="1"/>
  <c r="L361" i="1"/>
  <c r="K361" i="1"/>
  <c r="J361" i="1"/>
  <c r="M361" i="1"/>
  <c r="N361" i="1"/>
  <c r="I361" i="1"/>
  <c r="O361" i="1" s="1"/>
  <c r="K360" i="1"/>
  <c r="J360" i="1"/>
  <c r="I360" i="1"/>
  <c r="L360" i="1"/>
  <c r="N360" i="1"/>
  <c r="M360" i="1"/>
  <c r="N359" i="1"/>
  <c r="M359" i="1"/>
  <c r="L359" i="1"/>
  <c r="K359" i="1"/>
  <c r="J359" i="1"/>
  <c r="I359" i="1"/>
  <c r="O359" i="1" s="1"/>
  <c r="I358" i="1"/>
  <c r="M358" i="1"/>
  <c r="L358" i="1"/>
  <c r="K358" i="1"/>
  <c r="J358" i="1"/>
  <c r="N358" i="1"/>
  <c r="N357" i="1"/>
  <c r="M357" i="1"/>
  <c r="L357" i="1"/>
  <c r="K357" i="1"/>
  <c r="I357" i="1"/>
  <c r="J357" i="1"/>
  <c r="N356" i="1"/>
  <c r="M356" i="1"/>
  <c r="L356" i="1"/>
  <c r="K356" i="1"/>
  <c r="J356" i="1"/>
  <c r="I356" i="1"/>
  <c r="O356" i="1" s="1"/>
  <c r="I355" i="1"/>
  <c r="J355" i="1"/>
  <c r="K355" i="1"/>
  <c r="M355" i="1"/>
  <c r="L355" i="1"/>
  <c r="N355" i="1"/>
  <c r="K354" i="1"/>
  <c r="L354" i="1"/>
  <c r="I354" i="1"/>
  <c r="N354" i="1"/>
  <c r="M354" i="1"/>
  <c r="J354" i="1"/>
  <c r="N353" i="1"/>
  <c r="I353" i="1"/>
  <c r="J353" i="1"/>
  <c r="K353" i="1"/>
  <c r="L353" i="1"/>
  <c r="M353" i="1"/>
  <c r="L352" i="1"/>
  <c r="M352" i="1"/>
  <c r="J352" i="1"/>
  <c r="I352" i="1"/>
  <c r="K352" i="1"/>
  <c r="N352" i="1"/>
  <c r="M351" i="1"/>
  <c r="K351" i="1"/>
  <c r="J351" i="1"/>
  <c r="I351" i="1"/>
  <c r="N351" i="1"/>
  <c r="L351" i="1"/>
  <c r="N350" i="1"/>
  <c r="K350" i="1"/>
  <c r="J350" i="1"/>
  <c r="I350" i="1"/>
  <c r="L350" i="1"/>
  <c r="M350" i="1"/>
  <c r="K349" i="1"/>
  <c r="J349" i="1"/>
  <c r="L349" i="1"/>
  <c r="I349" i="1"/>
  <c r="M349" i="1"/>
  <c r="N349" i="1"/>
  <c r="L348" i="1"/>
  <c r="J348" i="1"/>
  <c r="N348" i="1"/>
  <c r="I348" i="1"/>
  <c r="M348" i="1"/>
  <c r="K348" i="1"/>
  <c r="N347" i="1"/>
  <c r="M347" i="1"/>
  <c r="I347" i="1"/>
  <c r="L347" i="1"/>
  <c r="K347" i="1"/>
  <c r="J347" i="1"/>
  <c r="N346" i="1"/>
  <c r="L346" i="1"/>
  <c r="M346" i="1"/>
  <c r="I346" i="1"/>
  <c r="K346" i="1"/>
  <c r="J346" i="1"/>
  <c r="I345" i="1"/>
  <c r="K345" i="1"/>
  <c r="N345" i="1"/>
  <c r="L345" i="1"/>
  <c r="J345" i="1"/>
  <c r="M345" i="1"/>
  <c r="M344" i="1"/>
  <c r="K344" i="1"/>
  <c r="I344" i="1"/>
  <c r="N344" i="1"/>
  <c r="L344" i="1"/>
  <c r="J344" i="1"/>
  <c r="K343" i="1"/>
  <c r="N343" i="1"/>
  <c r="L343" i="1"/>
  <c r="J343" i="1"/>
  <c r="I343" i="1"/>
  <c r="M343" i="1"/>
  <c r="N342" i="1"/>
  <c r="J342" i="1"/>
  <c r="K342" i="1"/>
  <c r="L342" i="1"/>
  <c r="I342" i="1"/>
  <c r="M342" i="1"/>
  <c r="L341" i="1"/>
  <c r="N341" i="1"/>
  <c r="J341" i="1"/>
  <c r="M341" i="1"/>
  <c r="K341" i="1"/>
  <c r="I341" i="1"/>
  <c r="O341" i="1" s="1"/>
  <c r="J340" i="1"/>
  <c r="N340" i="1"/>
  <c r="I340" i="1"/>
  <c r="K340" i="1"/>
  <c r="M340" i="1"/>
  <c r="L340" i="1"/>
  <c r="J339" i="1"/>
  <c r="L339" i="1"/>
  <c r="N339" i="1"/>
  <c r="K339" i="1"/>
  <c r="I339" i="1"/>
  <c r="M339" i="1"/>
  <c r="N338" i="1"/>
  <c r="I338" i="1"/>
  <c r="K338" i="1"/>
  <c r="J338" i="1"/>
  <c r="M338" i="1"/>
  <c r="L338" i="1"/>
  <c r="J337" i="1"/>
  <c r="K337" i="1"/>
  <c r="I337" i="1"/>
  <c r="N337" i="1"/>
  <c r="L337" i="1"/>
  <c r="M337" i="1"/>
  <c r="J335" i="1"/>
  <c r="N335" i="1"/>
  <c r="M335" i="1"/>
  <c r="L335" i="1"/>
  <c r="K335" i="1"/>
  <c r="I335" i="1"/>
  <c r="O335" i="1" s="1"/>
  <c r="K334" i="1"/>
  <c r="N334" i="1"/>
  <c r="M334" i="1"/>
  <c r="L334" i="1"/>
  <c r="I334" i="1"/>
  <c r="J334" i="1"/>
  <c r="M333" i="1"/>
  <c r="L333" i="1"/>
  <c r="J333" i="1"/>
  <c r="N333" i="1"/>
  <c r="I333" i="1"/>
  <c r="K333" i="1"/>
  <c r="K332" i="1"/>
  <c r="L332" i="1"/>
  <c r="M332" i="1"/>
  <c r="N332" i="1"/>
  <c r="I332" i="1"/>
  <c r="J332" i="1"/>
  <c r="M331" i="1"/>
  <c r="N331" i="1"/>
  <c r="K331" i="1"/>
  <c r="J331" i="1"/>
  <c r="L331" i="1"/>
  <c r="I331" i="1"/>
  <c r="O331" i="1" s="1"/>
  <c r="I330" i="1"/>
  <c r="J330" i="1"/>
  <c r="K330" i="1"/>
  <c r="L330" i="1"/>
  <c r="M330" i="1"/>
  <c r="N330" i="1"/>
  <c r="I329" i="1"/>
  <c r="J329" i="1"/>
  <c r="L329" i="1"/>
  <c r="M329" i="1"/>
  <c r="N329" i="1"/>
  <c r="K329" i="1"/>
  <c r="K328" i="1"/>
  <c r="M328" i="1"/>
  <c r="L328" i="1"/>
  <c r="N328" i="1"/>
  <c r="I328" i="1"/>
  <c r="J328" i="1"/>
  <c r="J327" i="1"/>
  <c r="I327" i="1"/>
  <c r="K327" i="1"/>
  <c r="N327" i="1"/>
  <c r="M327" i="1"/>
  <c r="L327" i="1"/>
  <c r="I326" i="1"/>
  <c r="K326" i="1"/>
  <c r="L326" i="1"/>
  <c r="M326" i="1"/>
  <c r="N326" i="1"/>
  <c r="J326" i="1"/>
  <c r="N325" i="1"/>
  <c r="M325" i="1"/>
  <c r="J325" i="1"/>
  <c r="L325" i="1"/>
  <c r="K325" i="1"/>
  <c r="I325" i="1"/>
  <c r="O325" i="1" s="1"/>
  <c r="N324" i="1"/>
  <c r="M324" i="1"/>
  <c r="L324" i="1"/>
  <c r="K324" i="1"/>
  <c r="J324" i="1"/>
  <c r="I324" i="1"/>
  <c r="O324" i="1" s="1"/>
  <c r="N323" i="1"/>
  <c r="M323" i="1"/>
  <c r="L323" i="1"/>
  <c r="K323" i="1"/>
  <c r="J323" i="1"/>
  <c r="I323" i="1"/>
  <c r="O323" i="1" s="1"/>
  <c r="N322" i="1"/>
  <c r="M322" i="1"/>
  <c r="L322" i="1"/>
  <c r="K322" i="1"/>
  <c r="J322" i="1"/>
  <c r="I322" i="1"/>
  <c r="N321" i="1"/>
  <c r="M321" i="1"/>
  <c r="L321" i="1"/>
  <c r="K321" i="1"/>
  <c r="J321" i="1"/>
  <c r="I321" i="1"/>
  <c r="N320" i="1"/>
  <c r="M320" i="1"/>
  <c r="L320" i="1"/>
  <c r="K320" i="1"/>
  <c r="J320" i="1"/>
  <c r="I320" i="1"/>
  <c r="O320" i="1" s="1"/>
  <c r="N319" i="1"/>
  <c r="M319" i="1"/>
  <c r="L319" i="1"/>
  <c r="K319" i="1"/>
  <c r="J319" i="1"/>
  <c r="I319" i="1"/>
  <c r="O319" i="1" s="1"/>
  <c r="N318" i="1"/>
  <c r="M318" i="1"/>
  <c r="L318" i="1"/>
  <c r="K318" i="1"/>
  <c r="J318" i="1"/>
  <c r="I318" i="1"/>
  <c r="O318" i="1" s="1"/>
  <c r="N317" i="1"/>
  <c r="M317" i="1"/>
  <c r="L317" i="1"/>
  <c r="K317" i="1"/>
  <c r="J317" i="1"/>
  <c r="I317" i="1"/>
  <c r="N316" i="1"/>
  <c r="M316" i="1"/>
  <c r="L316" i="1"/>
  <c r="K316" i="1"/>
  <c r="J316" i="1"/>
  <c r="I316" i="1"/>
  <c r="N315" i="1"/>
  <c r="M315" i="1"/>
  <c r="I315" i="1"/>
  <c r="J315" i="1"/>
  <c r="K315" i="1"/>
  <c r="L315" i="1"/>
  <c r="M314" i="1"/>
  <c r="N314" i="1"/>
  <c r="L314" i="1"/>
  <c r="K314" i="1"/>
  <c r="J314" i="1"/>
  <c r="I314" i="1"/>
  <c r="O314" i="1" s="1"/>
  <c r="K313" i="1"/>
  <c r="I313" i="1"/>
  <c r="M313" i="1"/>
  <c r="J313" i="1"/>
  <c r="L313" i="1"/>
  <c r="N313" i="1"/>
  <c r="I312" i="1"/>
  <c r="J312" i="1"/>
  <c r="K312" i="1"/>
  <c r="M312" i="1"/>
  <c r="N312" i="1"/>
  <c r="L312" i="1"/>
  <c r="N311" i="1"/>
  <c r="M311" i="1"/>
  <c r="L311" i="1"/>
  <c r="K311" i="1"/>
  <c r="J311" i="1"/>
  <c r="I311" i="1"/>
  <c r="O311" i="1" s="1"/>
  <c r="N310" i="1"/>
  <c r="M310" i="1"/>
  <c r="L310" i="1"/>
  <c r="K310" i="1"/>
  <c r="J310" i="1"/>
  <c r="I310" i="1"/>
  <c r="O310" i="1" s="1"/>
  <c r="I309" i="1"/>
  <c r="J309" i="1"/>
  <c r="K309" i="1"/>
  <c r="N309" i="1"/>
  <c r="M309" i="1"/>
  <c r="L309" i="1"/>
  <c r="L308" i="1"/>
  <c r="M308" i="1"/>
  <c r="N308" i="1"/>
  <c r="I308" i="1"/>
  <c r="J308" i="1"/>
  <c r="K308" i="1"/>
  <c r="K307" i="1"/>
  <c r="L307" i="1"/>
  <c r="M307" i="1"/>
  <c r="N307" i="1"/>
  <c r="I307" i="1"/>
  <c r="J307" i="1"/>
  <c r="I306" i="1"/>
  <c r="J306" i="1"/>
  <c r="M306" i="1"/>
  <c r="K306" i="1"/>
  <c r="L306" i="1"/>
  <c r="N306" i="1"/>
  <c r="M305" i="1"/>
  <c r="N305" i="1"/>
  <c r="I305" i="1"/>
  <c r="J305" i="1"/>
  <c r="K305" i="1"/>
  <c r="L305" i="1"/>
  <c r="K304" i="1"/>
  <c r="J304" i="1"/>
  <c r="I304" i="1"/>
  <c r="N304" i="1"/>
  <c r="M304" i="1"/>
  <c r="L304" i="1"/>
  <c r="K303" i="1"/>
  <c r="I303" i="1"/>
  <c r="N303" i="1"/>
  <c r="M303" i="1"/>
  <c r="L303" i="1"/>
  <c r="J303" i="1"/>
  <c r="I302" i="1"/>
  <c r="J302" i="1"/>
  <c r="K302" i="1"/>
  <c r="M302" i="1"/>
  <c r="N302" i="1"/>
  <c r="L302" i="1"/>
  <c r="N301" i="1"/>
  <c r="M301" i="1"/>
  <c r="K301" i="1"/>
  <c r="J301" i="1"/>
  <c r="I301" i="1"/>
  <c r="L301" i="1"/>
  <c r="N300" i="1"/>
  <c r="L300" i="1"/>
  <c r="K300" i="1"/>
  <c r="J300" i="1"/>
  <c r="I300" i="1"/>
  <c r="M300" i="1"/>
  <c r="N299" i="1"/>
  <c r="L299" i="1"/>
  <c r="K299" i="1"/>
  <c r="J299" i="1"/>
  <c r="I299" i="1"/>
  <c r="M299" i="1"/>
  <c r="L298" i="1"/>
  <c r="I298" i="1"/>
  <c r="J298" i="1"/>
  <c r="K298" i="1"/>
  <c r="N298" i="1"/>
  <c r="M298" i="1"/>
  <c r="I297" i="1"/>
  <c r="N297" i="1"/>
  <c r="M297" i="1"/>
  <c r="L297" i="1"/>
  <c r="K297" i="1"/>
  <c r="J297" i="1"/>
  <c r="M296" i="1"/>
  <c r="N296" i="1"/>
  <c r="J296" i="1"/>
  <c r="K296" i="1"/>
  <c r="L296" i="1"/>
  <c r="I296" i="1"/>
  <c r="O296" i="1" s="1"/>
  <c r="K295" i="1"/>
  <c r="N295" i="1"/>
  <c r="M295" i="1"/>
  <c r="L295" i="1"/>
  <c r="J295" i="1"/>
  <c r="I295" i="1"/>
  <c r="O295" i="1" s="1"/>
  <c r="J294" i="1"/>
  <c r="M294" i="1"/>
  <c r="N294" i="1"/>
  <c r="L294" i="1"/>
  <c r="I294" i="1"/>
  <c r="K294" i="1"/>
  <c r="N293" i="1"/>
  <c r="I293" i="1"/>
  <c r="J293" i="1"/>
  <c r="M293" i="1"/>
  <c r="L293" i="1"/>
  <c r="K293" i="1"/>
  <c r="I292" i="1"/>
  <c r="J292" i="1"/>
  <c r="K292" i="1"/>
  <c r="L292" i="1"/>
  <c r="N292" i="1"/>
  <c r="M292" i="1"/>
  <c r="M291" i="1"/>
  <c r="N291" i="1"/>
  <c r="J291" i="1"/>
  <c r="I291" i="1"/>
  <c r="K291" i="1"/>
  <c r="L291" i="1"/>
  <c r="I290" i="1"/>
  <c r="N290" i="1"/>
  <c r="K290" i="1"/>
  <c r="L290" i="1"/>
  <c r="M290" i="1"/>
  <c r="J290" i="1"/>
  <c r="M289" i="1"/>
  <c r="I289" i="1"/>
  <c r="J289" i="1"/>
  <c r="K289" i="1"/>
  <c r="L289" i="1"/>
  <c r="N289" i="1"/>
  <c r="M288" i="1"/>
  <c r="K288" i="1"/>
  <c r="L288" i="1"/>
  <c r="N288" i="1"/>
  <c r="I288" i="1"/>
  <c r="J288" i="1"/>
  <c r="L287" i="1"/>
  <c r="M287" i="1"/>
  <c r="K287" i="1"/>
  <c r="J287" i="1"/>
  <c r="I287" i="1"/>
  <c r="N287" i="1"/>
  <c r="K286" i="1"/>
  <c r="J286" i="1"/>
  <c r="I286" i="1"/>
  <c r="L286" i="1"/>
  <c r="N286" i="1"/>
  <c r="M286" i="1"/>
  <c r="J285" i="1"/>
  <c r="I285" i="1"/>
  <c r="K285" i="1"/>
  <c r="L285" i="1"/>
  <c r="M285" i="1"/>
  <c r="N285" i="1"/>
  <c r="N284" i="1"/>
  <c r="M284" i="1"/>
  <c r="L284" i="1"/>
  <c r="K284" i="1"/>
  <c r="J284" i="1"/>
  <c r="I284" i="1"/>
  <c r="O284" i="1" s="1"/>
  <c r="L283" i="1"/>
  <c r="J283" i="1"/>
  <c r="I283" i="1"/>
  <c r="K283" i="1"/>
  <c r="N283" i="1"/>
  <c r="M283" i="1"/>
  <c r="M282" i="1"/>
  <c r="K282" i="1"/>
  <c r="N282" i="1"/>
  <c r="I282" i="1"/>
  <c r="J282" i="1"/>
  <c r="L282" i="1"/>
  <c r="N281" i="1"/>
  <c r="M281" i="1"/>
  <c r="L281" i="1"/>
  <c r="K281" i="1"/>
  <c r="J281" i="1"/>
  <c r="I281" i="1"/>
  <c r="O281" i="1" s="1"/>
  <c r="I280" i="1"/>
  <c r="N280" i="1"/>
  <c r="M280" i="1"/>
  <c r="J280" i="1"/>
  <c r="K280" i="1"/>
  <c r="L280" i="1"/>
  <c r="I279" i="1"/>
  <c r="J279" i="1"/>
  <c r="L279" i="1"/>
  <c r="K279" i="1"/>
  <c r="N279" i="1"/>
  <c r="M279" i="1"/>
  <c r="K278" i="1"/>
  <c r="J278" i="1"/>
  <c r="I278" i="1"/>
  <c r="N278" i="1"/>
  <c r="M278" i="1"/>
  <c r="L278" i="1"/>
  <c r="N277" i="1"/>
  <c r="M277" i="1"/>
  <c r="L277" i="1"/>
  <c r="K277" i="1"/>
  <c r="J277" i="1"/>
  <c r="I277" i="1"/>
  <c r="O277" i="1" s="1"/>
  <c r="N276" i="1"/>
  <c r="M276" i="1"/>
  <c r="L276" i="1"/>
  <c r="K276" i="1"/>
  <c r="I276" i="1"/>
  <c r="J276" i="1"/>
  <c r="N275" i="1"/>
  <c r="M275" i="1"/>
  <c r="L275" i="1"/>
  <c r="K275" i="1"/>
  <c r="J275" i="1"/>
  <c r="I275" i="1"/>
  <c r="O275" i="1" s="1"/>
  <c r="M274" i="1"/>
  <c r="L274" i="1"/>
  <c r="K274" i="1"/>
  <c r="J274" i="1"/>
  <c r="I274" i="1"/>
  <c r="N274" i="1"/>
  <c r="K273" i="1"/>
  <c r="M273" i="1"/>
  <c r="N273" i="1"/>
  <c r="L273" i="1"/>
  <c r="I273" i="1"/>
  <c r="J273" i="1"/>
  <c r="I272" i="1"/>
  <c r="N272" i="1"/>
  <c r="M272" i="1"/>
  <c r="L272" i="1"/>
  <c r="K272" i="1"/>
  <c r="J272" i="1"/>
  <c r="I271" i="1"/>
  <c r="N271" i="1"/>
  <c r="M271" i="1"/>
  <c r="L271" i="1"/>
  <c r="K271" i="1"/>
  <c r="J271" i="1"/>
  <c r="N270" i="1"/>
  <c r="M270" i="1"/>
  <c r="L270" i="1"/>
  <c r="K270" i="1"/>
  <c r="I270" i="1"/>
  <c r="J270" i="1"/>
  <c r="L269" i="1"/>
  <c r="K269" i="1"/>
  <c r="J269" i="1"/>
  <c r="I269" i="1"/>
  <c r="M269" i="1"/>
  <c r="N269" i="1"/>
  <c r="N268" i="1"/>
  <c r="M268" i="1"/>
  <c r="J268" i="1"/>
  <c r="I268" i="1"/>
  <c r="L268" i="1"/>
  <c r="K268" i="1"/>
  <c r="N267" i="1"/>
  <c r="M267" i="1"/>
  <c r="L267" i="1"/>
  <c r="K267" i="1"/>
  <c r="J267" i="1"/>
  <c r="I267" i="1"/>
  <c r="O267" i="1" s="1"/>
  <c r="N266" i="1"/>
  <c r="M266" i="1"/>
  <c r="K266" i="1"/>
  <c r="J266" i="1"/>
  <c r="I266" i="1"/>
  <c r="L266" i="1"/>
  <c r="M265" i="1"/>
  <c r="L265" i="1"/>
  <c r="K265" i="1"/>
  <c r="J265" i="1"/>
  <c r="I265" i="1"/>
  <c r="N265" i="1"/>
  <c r="L264" i="1"/>
  <c r="I264" i="1"/>
  <c r="J264" i="1"/>
  <c r="K264" i="1"/>
  <c r="M264" i="1"/>
  <c r="N264" i="1"/>
  <c r="K263" i="1"/>
  <c r="I263" i="1"/>
  <c r="J263" i="1"/>
  <c r="L263" i="1"/>
  <c r="N263" i="1"/>
  <c r="M263" i="1"/>
  <c r="I262" i="1"/>
  <c r="J262" i="1"/>
  <c r="K262" i="1"/>
  <c r="L262" i="1"/>
  <c r="N262" i="1"/>
  <c r="M262" i="1"/>
  <c r="N261" i="1"/>
  <c r="L261" i="1"/>
  <c r="M261" i="1"/>
  <c r="K261" i="1"/>
  <c r="I261" i="1"/>
  <c r="J261" i="1"/>
  <c r="N260" i="1"/>
  <c r="L260" i="1"/>
  <c r="K260" i="1"/>
  <c r="J260" i="1"/>
  <c r="I260" i="1"/>
  <c r="M260" i="1"/>
  <c r="M259" i="1"/>
  <c r="L259" i="1"/>
  <c r="K259" i="1"/>
  <c r="J259" i="1"/>
  <c r="I259" i="1"/>
  <c r="N259" i="1"/>
  <c r="N258" i="1"/>
  <c r="L258" i="1"/>
  <c r="K258" i="1"/>
  <c r="J258" i="1"/>
  <c r="I258" i="1"/>
  <c r="M258" i="1"/>
  <c r="N257" i="1"/>
  <c r="L257" i="1"/>
  <c r="K257" i="1"/>
  <c r="J257" i="1"/>
  <c r="I257" i="1"/>
  <c r="M257" i="1"/>
  <c r="M256" i="1"/>
  <c r="N256" i="1"/>
  <c r="I256" i="1"/>
  <c r="J256" i="1"/>
  <c r="K256" i="1"/>
  <c r="L256" i="1"/>
  <c r="I255" i="1"/>
  <c r="N255" i="1"/>
  <c r="M255" i="1"/>
  <c r="L255" i="1"/>
  <c r="K255" i="1"/>
  <c r="J255" i="1"/>
  <c r="I254" i="1"/>
  <c r="K254" i="1"/>
  <c r="J254" i="1"/>
  <c r="N254" i="1"/>
  <c r="L254" i="1"/>
  <c r="M254" i="1"/>
  <c r="N253" i="1"/>
  <c r="M253" i="1"/>
  <c r="L253" i="1"/>
  <c r="K253" i="1"/>
  <c r="J253" i="1"/>
  <c r="I253" i="1"/>
  <c r="O253" i="1" s="1"/>
  <c r="M252" i="1"/>
  <c r="L252" i="1"/>
  <c r="K252" i="1"/>
  <c r="J252" i="1"/>
  <c r="I252" i="1"/>
  <c r="N252" i="1"/>
  <c r="M251" i="1"/>
  <c r="N251" i="1"/>
  <c r="L251" i="1"/>
  <c r="K251" i="1"/>
  <c r="J251" i="1"/>
  <c r="I251" i="1"/>
  <c r="O251" i="1" s="1"/>
  <c r="K250" i="1"/>
  <c r="M250" i="1"/>
  <c r="L250" i="1"/>
  <c r="I250" i="1"/>
  <c r="J250" i="1"/>
  <c r="N250" i="1"/>
  <c r="I249" i="1"/>
  <c r="K249" i="1"/>
  <c r="M249" i="1"/>
  <c r="L249" i="1"/>
  <c r="N249" i="1"/>
  <c r="J249" i="1"/>
  <c r="I248" i="1"/>
  <c r="N248" i="1"/>
  <c r="M248" i="1"/>
  <c r="L248" i="1"/>
  <c r="K248" i="1"/>
  <c r="J248" i="1"/>
  <c r="N247" i="1"/>
  <c r="M247" i="1"/>
  <c r="L247" i="1"/>
  <c r="K247" i="1"/>
  <c r="J247" i="1"/>
  <c r="I247" i="1"/>
  <c r="O247" i="1" s="1"/>
  <c r="N246" i="1"/>
  <c r="L246" i="1"/>
  <c r="M246" i="1"/>
  <c r="J246" i="1"/>
  <c r="I246" i="1"/>
  <c r="K246" i="1"/>
  <c r="L245" i="1"/>
  <c r="I245" i="1"/>
  <c r="J245" i="1"/>
  <c r="M245" i="1"/>
  <c r="N245" i="1"/>
  <c r="K245" i="1"/>
  <c r="I244" i="1"/>
  <c r="J244" i="1"/>
  <c r="K244" i="1"/>
  <c r="L244" i="1"/>
  <c r="M244" i="1"/>
  <c r="N244" i="1"/>
  <c r="K243" i="1"/>
  <c r="N243" i="1"/>
  <c r="M243" i="1"/>
  <c r="L243" i="1"/>
  <c r="J243" i="1"/>
  <c r="I243" i="1"/>
  <c r="O243" i="1" s="1"/>
  <c r="N242" i="1"/>
  <c r="M242" i="1"/>
  <c r="L242" i="1"/>
  <c r="K242" i="1"/>
  <c r="J242" i="1"/>
  <c r="I242" i="1"/>
  <c r="O242" i="1" s="1"/>
  <c r="K241" i="1"/>
  <c r="J241" i="1"/>
  <c r="M241" i="1"/>
  <c r="L241" i="1"/>
  <c r="I241" i="1"/>
  <c r="N241" i="1"/>
  <c r="M240" i="1"/>
  <c r="L240" i="1"/>
  <c r="K240" i="1"/>
  <c r="J240" i="1"/>
  <c r="I240" i="1"/>
  <c r="N240" i="1"/>
  <c r="M239" i="1"/>
  <c r="L239" i="1"/>
  <c r="K239" i="1"/>
  <c r="J239" i="1"/>
  <c r="I239" i="1"/>
  <c r="N239" i="1"/>
  <c r="J238" i="1"/>
  <c r="I238" i="1"/>
  <c r="O238" i="1" s="1"/>
  <c r="N237" i="1"/>
  <c r="M237" i="1"/>
  <c r="L237" i="1"/>
  <c r="K237" i="1"/>
  <c r="J237" i="1"/>
  <c r="I237" i="1"/>
  <c r="O237" i="1" s="1"/>
  <c r="I236" i="1"/>
  <c r="J236" i="1"/>
  <c r="K236" i="1"/>
  <c r="L236" i="1"/>
  <c r="N236" i="1"/>
  <c r="M236" i="1"/>
  <c r="I235" i="1"/>
  <c r="K235" i="1"/>
  <c r="L235" i="1"/>
  <c r="M235" i="1"/>
  <c r="N235" i="1"/>
  <c r="J235" i="1"/>
  <c r="I234" i="1"/>
  <c r="J234" i="1"/>
  <c r="K234" i="1"/>
  <c r="L234" i="1"/>
  <c r="M234" i="1"/>
  <c r="N234" i="1"/>
  <c r="J233" i="1"/>
  <c r="K233" i="1"/>
  <c r="M233" i="1"/>
  <c r="N233" i="1"/>
  <c r="L233" i="1"/>
  <c r="I233" i="1"/>
  <c r="O233" i="1" s="1"/>
  <c r="L232" i="1"/>
  <c r="M232" i="1"/>
  <c r="N232" i="1"/>
  <c r="K232" i="1"/>
  <c r="I232" i="1"/>
  <c r="J232" i="1"/>
  <c r="I231" i="1"/>
  <c r="J231" i="1"/>
  <c r="K231" i="1"/>
  <c r="L231" i="1"/>
  <c r="M231" i="1"/>
  <c r="N231" i="1"/>
  <c r="M230" i="1"/>
  <c r="N230" i="1"/>
  <c r="K230" i="1"/>
  <c r="I230" i="1"/>
  <c r="J230" i="1"/>
  <c r="L230" i="1"/>
  <c r="N229" i="1"/>
  <c r="K229" i="1"/>
  <c r="L229" i="1"/>
  <c r="M229" i="1"/>
  <c r="I229" i="1"/>
  <c r="J229" i="1"/>
  <c r="I228" i="1"/>
  <c r="J228" i="1"/>
  <c r="K228" i="1"/>
  <c r="L228" i="1"/>
  <c r="M228" i="1"/>
  <c r="N228" i="1"/>
  <c r="L227" i="1"/>
  <c r="M227" i="1"/>
  <c r="N227" i="1"/>
  <c r="I227" i="1"/>
  <c r="J227" i="1"/>
  <c r="K227" i="1"/>
  <c r="K226" i="1"/>
  <c r="L226" i="1"/>
  <c r="M226" i="1"/>
  <c r="N226" i="1"/>
  <c r="I226" i="1"/>
  <c r="J226" i="1"/>
  <c r="I225" i="1"/>
  <c r="J225" i="1"/>
  <c r="L225" i="1"/>
  <c r="M225" i="1"/>
  <c r="N225" i="1"/>
  <c r="K225" i="1"/>
  <c r="I224" i="1"/>
  <c r="J224" i="1"/>
  <c r="K224" i="1"/>
  <c r="L224" i="1"/>
  <c r="M224" i="1"/>
  <c r="N224" i="1"/>
  <c r="N223" i="1"/>
  <c r="L223" i="1"/>
  <c r="J223" i="1"/>
  <c r="M223" i="1"/>
  <c r="K223" i="1"/>
  <c r="I223" i="1"/>
  <c r="O223" i="1" s="1"/>
  <c r="M222" i="1"/>
  <c r="N222" i="1"/>
  <c r="I222" i="1"/>
  <c r="J222" i="1"/>
  <c r="K222" i="1"/>
  <c r="L222" i="1"/>
  <c r="N221" i="1"/>
  <c r="J221" i="1"/>
  <c r="L221" i="1"/>
  <c r="M221" i="1"/>
  <c r="I221" i="1"/>
  <c r="K221" i="1"/>
  <c r="I220" i="1"/>
  <c r="N220" i="1"/>
  <c r="L220" i="1"/>
  <c r="K220" i="1"/>
  <c r="J220" i="1"/>
  <c r="M220" i="1"/>
  <c r="I219" i="1"/>
  <c r="M219" i="1"/>
  <c r="N219" i="1"/>
  <c r="J219" i="1"/>
  <c r="L219" i="1"/>
  <c r="K219" i="1"/>
  <c r="N218" i="1"/>
  <c r="J218" i="1"/>
  <c r="I218" i="1"/>
  <c r="K218" i="1"/>
  <c r="L218" i="1"/>
  <c r="M218" i="1"/>
  <c r="L217" i="1"/>
  <c r="K217" i="1"/>
  <c r="J217" i="1"/>
  <c r="I217" i="1"/>
  <c r="N217" i="1"/>
  <c r="M217" i="1"/>
  <c r="L216" i="1"/>
  <c r="K216" i="1"/>
  <c r="J216" i="1"/>
  <c r="I216" i="1"/>
  <c r="N216" i="1"/>
  <c r="M216" i="1"/>
  <c r="N215" i="1"/>
  <c r="J215" i="1"/>
  <c r="K215" i="1"/>
  <c r="I215" i="1"/>
  <c r="L215" i="1"/>
  <c r="M215" i="1"/>
  <c r="N214" i="1"/>
  <c r="J214" i="1"/>
  <c r="K214" i="1"/>
  <c r="M214" i="1"/>
  <c r="L214" i="1"/>
  <c r="I214" i="1"/>
  <c r="O214" i="1" s="1"/>
  <c r="J213" i="1"/>
  <c r="N213" i="1"/>
  <c r="I213" i="1"/>
  <c r="M213" i="1"/>
  <c r="L213" i="1"/>
  <c r="K213" i="1"/>
  <c r="J212" i="1"/>
  <c r="I212" i="1"/>
  <c r="M212" i="1"/>
  <c r="N212" i="1"/>
  <c r="L212" i="1"/>
  <c r="K212" i="1"/>
  <c r="M211" i="1"/>
  <c r="L211" i="1"/>
  <c r="J211" i="1"/>
  <c r="I211" i="1"/>
  <c r="N211" i="1"/>
  <c r="K211" i="1"/>
  <c r="N210" i="1"/>
  <c r="K210" i="1"/>
  <c r="J210" i="1"/>
  <c r="I210" i="1"/>
  <c r="L210" i="1"/>
  <c r="M210" i="1"/>
  <c r="N209" i="1"/>
  <c r="M209" i="1"/>
  <c r="L209" i="1"/>
  <c r="I209" i="1"/>
  <c r="J209" i="1"/>
  <c r="K209" i="1"/>
  <c r="N208" i="1"/>
  <c r="I208" i="1"/>
  <c r="J208" i="1"/>
  <c r="K208" i="1"/>
  <c r="L208" i="1"/>
  <c r="M208" i="1"/>
  <c r="I207" i="1"/>
  <c r="J207" i="1"/>
  <c r="L207" i="1"/>
  <c r="M207" i="1"/>
  <c r="N207" i="1"/>
  <c r="K207" i="1"/>
  <c r="K206" i="1"/>
  <c r="M206" i="1"/>
  <c r="N206" i="1"/>
  <c r="I206" i="1"/>
  <c r="J206" i="1"/>
  <c r="L206" i="1"/>
  <c r="K205" i="1"/>
  <c r="J205" i="1"/>
  <c r="I205" i="1"/>
  <c r="N205" i="1"/>
  <c r="L205" i="1"/>
  <c r="M205" i="1"/>
  <c r="K204" i="1"/>
  <c r="J204" i="1"/>
  <c r="I204" i="1"/>
  <c r="N204" i="1"/>
  <c r="M204" i="1"/>
  <c r="L204" i="1"/>
  <c r="M203" i="1"/>
  <c r="J203" i="1"/>
  <c r="I203" i="1"/>
  <c r="N203" i="1"/>
  <c r="L203" i="1"/>
  <c r="K203" i="1"/>
  <c r="N202" i="1"/>
  <c r="M202" i="1"/>
  <c r="K202" i="1"/>
  <c r="J202" i="1"/>
  <c r="I202" i="1"/>
  <c r="L202" i="1"/>
  <c r="L201" i="1"/>
  <c r="J201" i="1"/>
  <c r="K201" i="1"/>
  <c r="M201" i="1"/>
  <c r="N201" i="1"/>
  <c r="I201" i="1"/>
  <c r="O201" i="1" s="1"/>
  <c r="M200" i="1"/>
  <c r="N200" i="1"/>
  <c r="I200" i="1"/>
  <c r="J200" i="1"/>
  <c r="K200" i="1"/>
  <c r="L200" i="1"/>
  <c r="I199" i="1"/>
  <c r="J199" i="1"/>
  <c r="K199" i="1"/>
  <c r="L199" i="1"/>
  <c r="M199" i="1"/>
  <c r="N199" i="1"/>
  <c r="I198" i="1"/>
  <c r="M198" i="1"/>
  <c r="L198" i="1"/>
  <c r="K198" i="1"/>
  <c r="J198" i="1"/>
  <c r="N198" i="1"/>
  <c r="J197" i="1"/>
  <c r="N197" i="1"/>
  <c r="M197" i="1"/>
  <c r="L197" i="1"/>
  <c r="K197" i="1"/>
  <c r="I197" i="1"/>
  <c r="N196" i="1"/>
  <c r="M196" i="1"/>
  <c r="L196" i="1"/>
  <c r="K196" i="1"/>
  <c r="J196" i="1"/>
  <c r="I196" i="1"/>
  <c r="M195" i="1"/>
  <c r="J195" i="1"/>
  <c r="N195" i="1"/>
  <c r="L195" i="1"/>
  <c r="K195" i="1"/>
  <c r="I195" i="1"/>
  <c r="O195" i="1" s="1"/>
  <c r="N194" i="1"/>
  <c r="L194" i="1"/>
  <c r="K194" i="1"/>
  <c r="J194" i="1"/>
  <c r="I194" i="1"/>
  <c r="M194" i="1"/>
  <c r="L193" i="1"/>
  <c r="M193" i="1"/>
  <c r="I193" i="1"/>
  <c r="N193" i="1"/>
  <c r="J193" i="1"/>
  <c r="K193" i="1"/>
  <c r="I192" i="1"/>
  <c r="J192" i="1"/>
  <c r="K192" i="1"/>
  <c r="L192" i="1"/>
  <c r="M192" i="1"/>
  <c r="N192" i="1"/>
  <c r="J191" i="1"/>
  <c r="I191" i="1"/>
  <c r="K191" i="1"/>
  <c r="L191" i="1"/>
  <c r="M191" i="1"/>
  <c r="N191" i="1"/>
  <c r="I190" i="1"/>
  <c r="J190" i="1"/>
  <c r="M190" i="1"/>
  <c r="K190" i="1"/>
  <c r="N190" i="1"/>
  <c r="L190" i="1"/>
  <c r="N189" i="1"/>
  <c r="M189" i="1"/>
  <c r="K189" i="1"/>
  <c r="I189" i="1"/>
  <c r="J189" i="1"/>
  <c r="K188" i="1"/>
  <c r="I188" i="1"/>
  <c r="L188" i="1"/>
  <c r="J188" i="1"/>
  <c r="M188" i="1"/>
  <c r="N188" i="1"/>
  <c r="K187" i="1"/>
  <c r="L187" i="1"/>
  <c r="M187" i="1"/>
  <c r="N187" i="1"/>
  <c r="J187" i="1"/>
  <c r="I187" i="1"/>
  <c r="J186" i="1"/>
  <c r="I186" i="1"/>
  <c r="N186" i="1"/>
  <c r="M186" i="1"/>
  <c r="L186" i="1"/>
  <c r="K186" i="1"/>
  <c r="J185" i="1"/>
  <c r="M185" i="1"/>
  <c r="I185" i="1"/>
  <c r="K185" i="1"/>
  <c r="L185" i="1"/>
  <c r="N185" i="1"/>
  <c r="M184" i="1"/>
  <c r="N184" i="1"/>
  <c r="I184" i="1"/>
  <c r="J184" i="1"/>
  <c r="K184" i="1"/>
  <c r="L184" i="1"/>
  <c r="N183" i="1"/>
  <c r="M183" i="1"/>
  <c r="K183" i="1"/>
  <c r="J183" i="1"/>
  <c r="I183" i="1"/>
  <c r="L183" i="1"/>
  <c r="N182" i="1"/>
  <c r="M182" i="1"/>
  <c r="K182" i="1"/>
  <c r="J182" i="1"/>
  <c r="I182" i="1"/>
  <c r="O182" i="1" s="1"/>
  <c r="L182" i="1"/>
  <c r="L181" i="1"/>
  <c r="I181" i="1"/>
  <c r="J181" i="1"/>
  <c r="K181" i="1"/>
  <c r="M181" i="1"/>
  <c r="N181" i="1"/>
  <c r="I180" i="1"/>
  <c r="J180" i="1"/>
  <c r="K180" i="1"/>
  <c r="L180" i="1"/>
  <c r="M180" i="1"/>
  <c r="N180" i="1"/>
  <c r="M179" i="1"/>
  <c r="N179" i="1"/>
  <c r="L179" i="1"/>
  <c r="K179" i="1"/>
  <c r="J179" i="1"/>
  <c r="I179" i="1"/>
  <c r="O179" i="1" s="1"/>
  <c r="J178" i="1"/>
  <c r="K178" i="1"/>
  <c r="I178" i="1"/>
  <c r="N178" i="1"/>
  <c r="M178" i="1"/>
  <c r="L178" i="1"/>
  <c r="N177" i="1"/>
  <c r="M177" i="1"/>
  <c r="L177" i="1"/>
  <c r="K177" i="1"/>
  <c r="J177" i="1"/>
  <c r="I177" i="1"/>
  <c r="N176" i="1"/>
  <c r="L176" i="1"/>
  <c r="J176" i="1"/>
  <c r="I176" i="1"/>
  <c r="M176" i="1"/>
  <c r="K176" i="1"/>
  <c r="N175" i="1"/>
  <c r="M175" i="1"/>
  <c r="L175" i="1"/>
  <c r="K175" i="1"/>
  <c r="I175" i="1"/>
  <c r="J175" i="1"/>
  <c r="N174" i="1"/>
  <c r="I174" i="1"/>
  <c r="J174" i="1"/>
  <c r="K174" i="1"/>
  <c r="L174" i="1"/>
  <c r="M174" i="1"/>
  <c r="I173" i="1"/>
  <c r="N173" i="1"/>
  <c r="L173" i="1"/>
  <c r="M173" i="1"/>
  <c r="K173" i="1"/>
  <c r="J173" i="1"/>
  <c r="N172" i="1"/>
  <c r="J172" i="1"/>
  <c r="K172" i="1"/>
  <c r="I172" i="1"/>
  <c r="M172" i="1"/>
  <c r="L172" i="1"/>
  <c r="I171" i="1"/>
  <c r="N171" i="1"/>
  <c r="M171" i="1"/>
  <c r="L171" i="1"/>
  <c r="K171" i="1"/>
  <c r="J171" i="1"/>
  <c r="I170" i="1"/>
  <c r="J170" i="1"/>
  <c r="K170" i="1"/>
  <c r="L170" i="1"/>
  <c r="M170" i="1"/>
  <c r="N170" i="1"/>
  <c r="M169" i="1"/>
  <c r="K169" i="1"/>
  <c r="J169" i="1"/>
  <c r="N169" i="1"/>
  <c r="L169" i="1"/>
  <c r="I169" i="1"/>
  <c r="O169" i="1" s="1"/>
  <c r="I168" i="1"/>
  <c r="J168" i="1"/>
  <c r="K168" i="1"/>
  <c r="L168" i="1"/>
  <c r="M168" i="1"/>
  <c r="N168" i="1"/>
  <c r="I167" i="1"/>
  <c r="J167" i="1"/>
  <c r="K167" i="1"/>
  <c r="L167" i="1"/>
  <c r="M167" i="1"/>
  <c r="N167" i="1"/>
  <c r="I166" i="1"/>
  <c r="J166" i="1"/>
  <c r="K166" i="1"/>
  <c r="L166" i="1"/>
  <c r="M166" i="1"/>
  <c r="N166" i="1"/>
  <c r="J165" i="1"/>
  <c r="K165" i="1"/>
  <c r="L165" i="1"/>
  <c r="M165" i="1"/>
  <c r="N165" i="1"/>
  <c r="I165" i="1"/>
  <c r="O165" i="1" s="1"/>
  <c r="L164" i="1"/>
  <c r="N164" i="1"/>
  <c r="K164" i="1"/>
  <c r="I164" i="1"/>
  <c r="J164" i="1"/>
  <c r="M164" i="1"/>
  <c r="J163" i="1"/>
  <c r="I163" i="1"/>
  <c r="K163" i="1"/>
  <c r="N163" i="1"/>
  <c r="M163" i="1"/>
  <c r="L163" i="1"/>
  <c r="K162" i="1"/>
  <c r="N162" i="1"/>
  <c r="M162" i="1"/>
  <c r="I162" i="1"/>
  <c r="J162" i="1"/>
  <c r="L162" i="1"/>
  <c r="M161" i="1"/>
  <c r="N161" i="1"/>
  <c r="I161" i="1"/>
  <c r="L161" i="1"/>
  <c r="J161" i="1"/>
  <c r="K161" i="1"/>
  <c r="N160" i="1"/>
  <c r="M160" i="1"/>
  <c r="I160" i="1"/>
  <c r="J160" i="1"/>
  <c r="K160" i="1"/>
  <c r="L160" i="1"/>
  <c r="J159" i="1"/>
  <c r="K159" i="1"/>
  <c r="L159" i="1"/>
  <c r="M159" i="1"/>
  <c r="I159" i="1"/>
  <c r="N159" i="1"/>
  <c r="I158" i="1"/>
  <c r="J158" i="1"/>
  <c r="K158" i="1"/>
  <c r="L158" i="1"/>
  <c r="M158" i="1"/>
  <c r="N158" i="1"/>
  <c r="L157" i="1"/>
  <c r="M157" i="1"/>
  <c r="N157" i="1"/>
  <c r="I157" i="1"/>
  <c r="J157" i="1"/>
  <c r="K157" i="1"/>
  <c r="J156" i="1"/>
  <c r="I156" i="1"/>
  <c r="N156" i="1"/>
  <c r="K156" i="1"/>
  <c r="M156" i="1"/>
  <c r="L156" i="1"/>
  <c r="J155" i="1"/>
  <c r="L155" i="1"/>
  <c r="N155" i="1"/>
  <c r="M155" i="1"/>
  <c r="K155" i="1"/>
  <c r="I155" i="1"/>
  <c r="I154" i="1"/>
  <c r="N154" i="1"/>
  <c r="M154" i="1"/>
  <c r="J154" i="1"/>
  <c r="L154" i="1"/>
  <c r="K154" i="1"/>
  <c r="K153" i="1"/>
  <c r="M153" i="1"/>
  <c r="I153" i="1"/>
  <c r="N153" i="1"/>
  <c r="L153" i="1"/>
  <c r="J153" i="1"/>
  <c r="K152" i="1"/>
  <c r="M152" i="1"/>
  <c r="I152" i="1"/>
  <c r="J152" i="1"/>
  <c r="L152" i="1"/>
  <c r="N152" i="1"/>
  <c r="N151" i="1"/>
  <c r="J151" i="1"/>
  <c r="I151" i="1"/>
  <c r="K151" i="1"/>
  <c r="L151" i="1"/>
  <c r="M151" i="1"/>
  <c r="L150" i="1"/>
  <c r="I150" i="1"/>
  <c r="K150" i="1"/>
  <c r="J150" i="1"/>
  <c r="M150" i="1"/>
  <c r="N150" i="1"/>
  <c r="M149" i="1"/>
  <c r="K149" i="1"/>
  <c r="I149" i="1"/>
  <c r="N149" i="1"/>
  <c r="L149" i="1"/>
  <c r="J149" i="1"/>
  <c r="N148" i="1"/>
  <c r="K148" i="1"/>
  <c r="M148" i="1"/>
  <c r="L148" i="1"/>
  <c r="J148" i="1"/>
  <c r="I148" i="1"/>
  <c r="O148" i="1" s="1"/>
  <c r="L147" i="1"/>
  <c r="M147" i="1"/>
  <c r="I147" i="1"/>
  <c r="K147" i="1"/>
  <c r="N147" i="1"/>
  <c r="J147" i="1"/>
  <c r="N146" i="1"/>
  <c r="J146" i="1"/>
  <c r="L146" i="1"/>
  <c r="I146" i="1"/>
  <c r="M146" i="1"/>
  <c r="K146" i="1"/>
  <c r="I145" i="1"/>
  <c r="J145" i="1"/>
  <c r="N145" i="1"/>
  <c r="K145" i="1"/>
  <c r="L145" i="1"/>
  <c r="M145" i="1"/>
  <c r="N144" i="1"/>
  <c r="L144" i="1"/>
  <c r="K144" i="1"/>
  <c r="M144" i="1"/>
  <c r="J144" i="1"/>
  <c r="I144" i="1"/>
  <c r="O144" i="1" s="1"/>
  <c r="L143" i="1"/>
  <c r="I143" i="1"/>
  <c r="K143" i="1"/>
  <c r="M143" i="1"/>
  <c r="J143" i="1"/>
  <c r="N143" i="1"/>
  <c r="J142" i="1"/>
  <c r="L142" i="1"/>
  <c r="I142" i="1"/>
  <c r="N142" i="1"/>
  <c r="K142" i="1"/>
  <c r="M142" i="1"/>
  <c r="J141" i="1"/>
  <c r="N141" i="1"/>
  <c r="I141" i="1"/>
  <c r="L141" i="1"/>
  <c r="M141" i="1"/>
  <c r="K141" i="1"/>
  <c r="J140" i="1"/>
  <c r="K140" i="1"/>
  <c r="I140" i="1"/>
  <c r="O140" i="1" s="1"/>
  <c r="I139" i="1"/>
  <c r="K139" i="1"/>
  <c r="L139" i="1"/>
  <c r="M139" i="1"/>
  <c r="J139" i="1"/>
  <c r="N139" i="1"/>
  <c r="L138" i="1"/>
  <c r="M138" i="1"/>
  <c r="N138" i="1"/>
  <c r="I138" i="1"/>
  <c r="J138" i="1"/>
  <c r="K138" i="1"/>
  <c r="I137" i="1"/>
  <c r="N137" i="1"/>
  <c r="M137" i="1"/>
  <c r="L137" i="1"/>
  <c r="K137" i="1"/>
  <c r="J137" i="1"/>
  <c r="N136" i="1"/>
  <c r="M136" i="1"/>
  <c r="L136" i="1"/>
  <c r="K136" i="1"/>
  <c r="J136" i="1"/>
  <c r="I136" i="1"/>
  <c r="N135" i="1"/>
  <c r="M135" i="1"/>
  <c r="L135" i="1"/>
  <c r="K135" i="1"/>
  <c r="J135" i="1"/>
  <c r="I135" i="1"/>
  <c r="L134" i="1"/>
  <c r="K134" i="1"/>
  <c r="J134" i="1"/>
  <c r="N134" i="1"/>
  <c r="M134" i="1"/>
  <c r="I134" i="1"/>
  <c r="O134" i="1" s="1"/>
  <c r="N133" i="1"/>
  <c r="M133" i="1"/>
  <c r="L133" i="1"/>
  <c r="K133" i="1"/>
  <c r="J133" i="1"/>
  <c r="I133" i="1"/>
  <c r="O133" i="1" s="1"/>
  <c r="I132" i="1"/>
  <c r="J132" i="1"/>
  <c r="L132" i="1"/>
  <c r="N132" i="1"/>
  <c r="M132" i="1"/>
  <c r="K132" i="1"/>
  <c r="I131" i="1"/>
  <c r="K131" i="1"/>
  <c r="J131" i="1"/>
  <c r="L131" i="1"/>
  <c r="M131" i="1"/>
  <c r="N131" i="1"/>
  <c r="N130" i="1"/>
  <c r="M130" i="1"/>
  <c r="K130" i="1"/>
  <c r="L130" i="1"/>
  <c r="I130" i="1"/>
  <c r="J130" i="1"/>
  <c r="K129" i="1"/>
  <c r="L129" i="1"/>
  <c r="I129" i="1"/>
  <c r="J129" i="1"/>
  <c r="N129" i="1"/>
  <c r="M129" i="1"/>
  <c r="M128" i="1"/>
  <c r="I128" i="1"/>
  <c r="J128" i="1"/>
  <c r="K128" i="1"/>
  <c r="L128" i="1"/>
  <c r="N128" i="1"/>
  <c r="J127" i="1"/>
  <c r="K127" i="1"/>
  <c r="I127" i="1"/>
  <c r="L127" i="1"/>
  <c r="M127" i="1"/>
  <c r="N127" i="1"/>
  <c r="J126" i="1"/>
  <c r="K126" i="1"/>
  <c r="I126" i="1"/>
  <c r="N126" i="1"/>
  <c r="M126" i="1"/>
  <c r="L126" i="1"/>
  <c r="N125" i="1"/>
  <c r="L125" i="1"/>
  <c r="K125" i="1"/>
  <c r="J125" i="1"/>
  <c r="I125" i="1"/>
  <c r="M125" i="1"/>
  <c r="I124" i="1"/>
  <c r="N124" i="1"/>
  <c r="M124" i="1"/>
  <c r="K124" i="1"/>
  <c r="J124" i="1"/>
  <c r="L124" i="1"/>
  <c r="N123" i="1"/>
  <c r="I123" i="1"/>
  <c r="J123" i="1"/>
  <c r="K123" i="1"/>
  <c r="L123" i="1"/>
  <c r="M123" i="1"/>
  <c r="L122" i="1"/>
  <c r="N122" i="1"/>
  <c r="M122" i="1"/>
  <c r="K122" i="1"/>
  <c r="J122" i="1"/>
  <c r="I122" i="1"/>
  <c r="O122" i="1" s="1"/>
  <c r="M121" i="1"/>
  <c r="K121" i="1"/>
  <c r="J121" i="1"/>
  <c r="I121" i="1"/>
  <c r="L121" i="1"/>
  <c r="N121" i="1"/>
  <c r="J120" i="1"/>
  <c r="I120" i="1"/>
  <c r="M120" i="1"/>
  <c r="L120" i="1"/>
  <c r="K120" i="1"/>
  <c r="N120" i="1"/>
  <c r="N119" i="1"/>
  <c r="M119" i="1"/>
  <c r="L119" i="1"/>
  <c r="K119" i="1"/>
  <c r="J119" i="1"/>
  <c r="I119" i="1"/>
  <c r="O119" i="1" s="1"/>
  <c r="N118" i="1"/>
  <c r="M118" i="1"/>
  <c r="L118" i="1"/>
  <c r="K118" i="1"/>
  <c r="J118" i="1"/>
  <c r="I118" i="1"/>
  <c r="O118" i="1" s="1"/>
  <c r="I117" i="1"/>
  <c r="M117" i="1"/>
  <c r="L117" i="1"/>
  <c r="K117" i="1"/>
  <c r="J117" i="1"/>
  <c r="N117" i="1"/>
  <c r="L116" i="1"/>
  <c r="M116" i="1"/>
  <c r="N116" i="1"/>
  <c r="I116" i="1"/>
  <c r="J116" i="1"/>
  <c r="K116" i="1"/>
  <c r="I115" i="1"/>
  <c r="J115" i="1"/>
  <c r="K115" i="1"/>
  <c r="L115" i="1"/>
  <c r="M115" i="1"/>
  <c r="N115" i="1"/>
  <c r="I114" i="1"/>
  <c r="J114" i="1"/>
  <c r="K114" i="1"/>
  <c r="L114" i="1"/>
  <c r="M114" i="1"/>
  <c r="N114" i="1"/>
  <c r="K113" i="1"/>
  <c r="J113" i="1"/>
  <c r="I113" i="1"/>
  <c r="M113" i="1"/>
  <c r="N113" i="1"/>
  <c r="L113" i="1"/>
  <c r="N112" i="1"/>
  <c r="M112" i="1"/>
  <c r="L112" i="1"/>
  <c r="K112" i="1"/>
  <c r="J112" i="1"/>
  <c r="I112" i="1"/>
  <c r="M111" i="1"/>
  <c r="L111" i="1"/>
  <c r="K111" i="1"/>
  <c r="J111" i="1"/>
  <c r="I111" i="1"/>
  <c r="N111" i="1"/>
  <c r="N110" i="1"/>
  <c r="M110" i="1"/>
  <c r="I110" i="1"/>
  <c r="L110" i="1"/>
  <c r="K110" i="1"/>
  <c r="J110" i="1"/>
  <c r="N109" i="1"/>
  <c r="M109" i="1"/>
  <c r="L109" i="1"/>
  <c r="K109" i="1"/>
  <c r="J109" i="1"/>
  <c r="I109" i="1"/>
  <c r="N108" i="1"/>
  <c r="M108" i="1"/>
  <c r="K108" i="1"/>
  <c r="J108" i="1"/>
  <c r="I108" i="1"/>
  <c r="L108" i="1"/>
  <c r="M107" i="1"/>
  <c r="I107" i="1"/>
  <c r="J107" i="1"/>
  <c r="K107" i="1"/>
  <c r="L107" i="1"/>
  <c r="N107" i="1"/>
  <c r="M106" i="1"/>
  <c r="L106" i="1"/>
  <c r="K106" i="1"/>
  <c r="J106" i="1"/>
  <c r="I106" i="1"/>
  <c r="N106" i="1"/>
  <c r="N105" i="1"/>
  <c r="I105" i="1"/>
  <c r="K105" i="1"/>
  <c r="L105" i="1"/>
  <c r="M105" i="1"/>
  <c r="J105" i="1"/>
  <c r="K104" i="1"/>
  <c r="I104" i="1"/>
  <c r="L104" i="1"/>
  <c r="M104" i="1"/>
  <c r="N104" i="1"/>
  <c r="J104" i="1"/>
  <c r="J103" i="1"/>
  <c r="I103" i="1"/>
  <c r="N103" i="1"/>
  <c r="M103" i="1"/>
  <c r="L103" i="1"/>
  <c r="K103" i="1"/>
  <c r="J102" i="1"/>
  <c r="I102" i="1"/>
  <c r="N102" i="1"/>
  <c r="M102" i="1"/>
  <c r="L102" i="1"/>
  <c r="K102" i="1"/>
  <c r="I101" i="1"/>
  <c r="J101" i="1"/>
  <c r="K101" i="1"/>
  <c r="L101" i="1"/>
  <c r="M101" i="1"/>
  <c r="N101" i="1"/>
  <c r="N100" i="1"/>
  <c r="J100" i="1"/>
  <c r="I100" i="1"/>
  <c r="K100" i="1"/>
  <c r="L100" i="1"/>
  <c r="M100" i="1"/>
  <c r="J99" i="1"/>
  <c r="I99" i="1"/>
  <c r="K99" i="1"/>
  <c r="L99" i="1"/>
  <c r="M99" i="1"/>
  <c r="N99" i="1"/>
  <c r="N98" i="1"/>
  <c r="M98" i="1"/>
  <c r="L98" i="1"/>
  <c r="K98" i="1"/>
  <c r="I98" i="1"/>
  <c r="J98" i="1"/>
  <c r="N97" i="1"/>
  <c r="I97" i="1"/>
  <c r="J97" i="1"/>
  <c r="K97" i="1"/>
  <c r="L97" i="1"/>
  <c r="M97" i="1"/>
  <c r="M96" i="1"/>
  <c r="I96" i="1"/>
  <c r="J96" i="1"/>
  <c r="K96" i="1"/>
  <c r="L96" i="1"/>
  <c r="N96" i="1"/>
  <c r="I95" i="1"/>
  <c r="K95" i="1"/>
  <c r="L95" i="1"/>
  <c r="M95" i="1"/>
  <c r="N95" i="1"/>
  <c r="J95" i="1"/>
  <c r="N94" i="1"/>
  <c r="M94" i="1"/>
  <c r="L94" i="1"/>
  <c r="K94" i="1"/>
  <c r="J94" i="1"/>
  <c r="I94" i="1"/>
  <c r="O94" i="1" s="1"/>
  <c r="L93" i="1"/>
  <c r="K93" i="1"/>
  <c r="J93" i="1"/>
  <c r="I93" i="1"/>
  <c r="M93" i="1"/>
  <c r="N93" i="1"/>
  <c r="M92" i="1"/>
  <c r="N92" i="1"/>
  <c r="L92" i="1"/>
  <c r="K92" i="1"/>
  <c r="J92" i="1"/>
  <c r="I92" i="1"/>
  <c r="L91" i="1"/>
  <c r="K91" i="1"/>
  <c r="J91" i="1"/>
  <c r="I91" i="1"/>
  <c r="M91" i="1"/>
  <c r="N91" i="1"/>
  <c r="L90" i="1"/>
  <c r="N90" i="1"/>
  <c r="J90" i="1"/>
  <c r="I90" i="1"/>
  <c r="K90" i="1"/>
  <c r="M90" i="1"/>
  <c r="L89" i="1"/>
  <c r="I89" i="1"/>
  <c r="N89" i="1"/>
  <c r="M89" i="1"/>
  <c r="K89" i="1"/>
  <c r="J89" i="1"/>
  <c r="L88" i="1"/>
  <c r="M88" i="1"/>
  <c r="N88" i="1"/>
  <c r="J88" i="1"/>
  <c r="I88" i="1"/>
  <c r="K88" i="1"/>
  <c r="J87" i="1"/>
  <c r="I87" i="1"/>
  <c r="N87" i="1"/>
  <c r="M87" i="1"/>
  <c r="L87" i="1"/>
  <c r="K87" i="1"/>
  <c r="M86" i="1"/>
  <c r="N86" i="1"/>
  <c r="I86" i="1"/>
  <c r="J86" i="1"/>
  <c r="K86" i="1"/>
  <c r="L86" i="1"/>
  <c r="N85" i="1"/>
  <c r="M85" i="1"/>
  <c r="K85" i="1"/>
  <c r="J85" i="1"/>
  <c r="I85" i="1"/>
  <c r="L85" i="1"/>
  <c r="I84" i="1"/>
  <c r="J84" i="1"/>
  <c r="N84" i="1"/>
  <c r="M84" i="1"/>
  <c r="L84" i="1"/>
  <c r="K84" i="1"/>
  <c r="I83" i="1"/>
  <c r="N83" i="1"/>
  <c r="M83" i="1"/>
  <c r="L83" i="1"/>
  <c r="K83" i="1"/>
  <c r="J83" i="1"/>
  <c r="K82" i="1"/>
  <c r="N82" i="1"/>
  <c r="M82" i="1"/>
  <c r="L82" i="1"/>
  <c r="J82" i="1"/>
  <c r="I82" i="1"/>
  <c r="O82" i="1" s="1"/>
  <c r="L81" i="1"/>
  <c r="M81" i="1"/>
  <c r="N81" i="1"/>
  <c r="K81" i="1"/>
  <c r="I81" i="1"/>
  <c r="J81" i="1"/>
  <c r="I80" i="1"/>
  <c r="J80" i="1"/>
  <c r="K80" i="1"/>
  <c r="L80" i="1"/>
  <c r="M80" i="1"/>
  <c r="N80" i="1"/>
  <c r="L79" i="1"/>
  <c r="J79" i="1"/>
  <c r="I79" i="1"/>
  <c r="M79" i="1"/>
  <c r="K79" i="1"/>
  <c r="N79" i="1"/>
  <c r="N78" i="1"/>
  <c r="M78" i="1"/>
  <c r="L78" i="1"/>
  <c r="I78" i="1"/>
  <c r="J78" i="1"/>
  <c r="K78" i="1"/>
  <c r="K77" i="1"/>
  <c r="J77" i="1"/>
  <c r="N77" i="1"/>
  <c r="I77" i="1"/>
  <c r="M77" i="1"/>
  <c r="L77" i="1"/>
  <c r="L76" i="1"/>
  <c r="K76" i="1"/>
  <c r="I76" i="1"/>
  <c r="N76" i="1"/>
  <c r="M76" i="1"/>
  <c r="J76" i="1"/>
  <c r="N75" i="1"/>
  <c r="M75" i="1"/>
  <c r="L75" i="1"/>
  <c r="K75" i="1"/>
  <c r="J75" i="1"/>
  <c r="I75" i="1"/>
  <c r="I74" i="1"/>
  <c r="K74" i="1"/>
  <c r="L74" i="1"/>
  <c r="M74" i="1"/>
  <c r="N74" i="1"/>
  <c r="J74" i="1"/>
  <c r="I73" i="1"/>
  <c r="J73" i="1"/>
  <c r="K73" i="1"/>
  <c r="M73" i="1"/>
  <c r="N73" i="1"/>
  <c r="L73" i="1"/>
  <c r="K72" i="1"/>
  <c r="J72" i="1"/>
  <c r="I72" i="1"/>
  <c r="L72" i="1"/>
  <c r="M72" i="1"/>
  <c r="N72" i="1"/>
  <c r="J71" i="1"/>
  <c r="I71" i="1"/>
  <c r="N71" i="1"/>
  <c r="M71" i="1"/>
  <c r="K71" i="1"/>
  <c r="L71" i="1"/>
  <c r="M70" i="1"/>
  <c r="N70" i="1"/>
  <c r="K70" i="1"/>
  <c r="I70" i="1"/>
  <c r="J70" i="1"/>
  <c r="L70" i="1"/>
  <c r="L69" i="1"/>
  <c r="I69" i="1"/>
  <c r="N69" i="1"/>
  <c r="M69" i="1"/>
  <c r="J69" i="1"/>
  <c r="K69" i="1"/>
  <c r="I68" i="1"/>
  <c r="L68" i="1"/>
  <c r="J68" i="1"/>
  <c r="K68" i="1"/>
  <c r="M68" i="1"/>
  <c r="N68" i="1"/>
  <c r="J67" i="1"/>
  <c r="K67" i="1"/>
  <c r="L67" i="1"/>
  <c r="M67" i="1"/>
  <c r="N67" i="1"/>
  <c r="I67" i="1"/>
  <c r="K66" i="1"/>
  <c r="N66" i="1"/>
  <c r="M66" i="1"/>
  <c r="L66" i="1"/>
  <c r="J66" i="1"/>
  <c r="I66" i="1"/>
  <c r="O66" i="1" s="1"/>
  <c r="N65" i="1"/>
  <c r="M65" i="1"/>
  <c r="L65" i="1"/>
  <c r="K65" i="1"/>
  <c r="J65" i="1"/>
  <c r="I65" i="1"/>
  <c r="O65" i="1" s="1"/>
  <c r="M64" i="1"/>
  <c r="I64" i="1"/>
  <c r="J64" i="1"/>
  <c r="K64" i="1"/>
  <c r="L64" i="1"/>
  <c r="N64" i="1"/>
  <c r="N63" i="1"/>
  <c r="M63" i="1"/>
  <c r="L63" i="1"/>
  <c r="K63" i="1"/>
  <c r="J63" i="1"/>
  <c r="I63" i="1"/>
  <c r="O63" i="1" s="1"/>
  <c r="N62" i="1"/>
  <c r="M62" i="1"/>
  <c r="K62" i="1"/>
  <c r="J62" i="1"/>
  <c r="I62" i="1"/>
  <c r="L62" i="1"/>
  <c r="L61" i="1"/>
  <c r="I61" i="1"/>
  <c r="J61" i="1"/>
  <c r="N61" i="1"/>
  <c r="M61" i="1"/>
  <c r="K61" i="1"/>
  <c r="K60" i="1"/>
  <c r="L60" i="1"/>
  <c r="M60" i="1"/>
  <c r="N60" i="1"/>
  <c r="I60" i="1"/>
  <c r="J60" i="1"/>
  <c r="K59" i="1"/>
  <c r="J59" i="1"/>
  <c r="I59" i="1"/>
  <c r="N59" i="1"/>
  <c r="L59" i="1"/>
  <c r="M59" i="1"/>
  <c r="M58" i="1"/>
  <c r="N58" i="1"/>
  <c r="I58" i="1"/>
  <c r="J58" i="1"/>
  <c r="K58" i="1"/>
  <c r="L58" i="1"/>
  <c r="L57" i="1"/>
  <c r="N57" i="1"/>
  <c r="M57" i="1"/>
  <c r="I57" i="1"/>
  <c r="K57" i="1"/>
  <c r="J57" i="1"/>
  <c r="I56" i="1"/>
  <c r="J56" i="1"/>
  <c r="K56" i="1"/>
  <c r="M56" i="1"/>
  <c r="L56" i="1"/>
  <c r="N56" i="1"/>
  <c r="N55" i="1"/>
  <c r="J55" i="1"/>
  <c r="I55" i="1"/>
  <c r="M55" i="1"/>
  <c r="L55" i="1"/>
  <c r="K55" i="1"/>
  <c r="N54" i="1"/>
  <c r="M54" i="1"/>
  <c r="K54" i="1"/>
  <c r="J54" i="1"/>
  <c r="I54" i="1"/>
  <c r="L54" i="1"/>
  <c r="N53" i="1"/>
  <c r="M53" i="1"/>
  <c r="L53" i="1"/>
  <c r="K53" i="1"/>
  <c r="J53" i="1"/>
  <c r="I53" i="1"/>
  <c r="O53" i="1" s="1"/>
  <c r="N52" i="1"/>
  <c r="M52" i="1"/>
  <c r="L52" i="1"/>
  <c r="J52" i="1"/>
  <c r="K52" i="1"/>
  <c r="I52" i="1"/>
  <c r="O52" i="1" s="1"/>
  <c r="I51" i="1"/>
  <c r="J51" i="1"/>
  <c r="K51" i="1"/>
  <c r="L51" i="1"/>
  <c r="M51" i="1"/>
  <c r="N51" i="1"/>
  <c r="M50" i="1"/>
  <c r="L50" i="1"/>
  <c r="K50" i="1"/>
  <c r="J50" i="1"/>
  <c r="I50" i="1"/>
  <c r="N50" i="1"/>
  <c r="L49" i="1"/>
  <c r="I49" i="1"/>
  <c r="J49" i="1"/>
  <c r="K49" i="1"/>
  <c r="N49" i="1"/>
  <c r="M49" i="1"/>
  <c r="I48" i="1"/>
  <c r="M48" i="1"/>
  <c r="N48" i="1"/>
  <c r="J48" i="1"/>
  <c r="K48" i="1"/>
  <c r="L48" i="1"/>
  <c r="J47" i="1"/>
  <c r="K47" i="1"/>
  <c r="L47" i="1"/>
  <c r="M47" i="1"/>
  <c r="N47" i="1"/>
  <c r="I47" i="1"/>
  <c r="O47" i="1" s="1"/>
  <c r="J46" i="1"/>
  <c r="I46" i="1"/>
  <c r="N46" i="1"/>
  <c r="K46" i="1"/>
  <c r="L46" i="1"/>
  <c r="M46" i="1"/>
  <c r="J45" i="1"/>
  <c r="I45" i="1"/>
  <c r="L45" i="1"/>
  <c r="N45" i="1"/>
  <c r="M45" i="1"/>
  <c r="K45" i="1"/>
  <c r="I44" i="1"/>
  <c r="J44" i="1"/>
  <c r="L44" i="1"/>
  <c r="K44" i="1"/>
  <c r="M44" i="1"/>
  <c r="N44" i="1"/>
  <c r="L43" i="1"/>
  <c r="M43" i="1"/>
  <c r="N43" i="1"/>
  <c r="I43" i="1"/>
  <c r="J43" i="1"/>
  <c r="K43" i="1"/>
  <c r="M42" i="1"/>
  <c r="L42" i="1"/>
  <c r="K42" i="1"/>
  <c r="J42" i="1"/>
  <c r="I42" i="1"/>
  <c r="O42" i="1" s="1"/>
  <c r="N41" i="1"/>
  <c r="L41" i="1"/>
  <c r="K41" i="1"/>
  <c r="J41" i="1"/>
  <c r="I41" i="1"/>
  <c r="M41" i="1"/>
  <c r="N40" i="1"/>
  <c r="M40" i="1"/>
  <c r="L40" i="1"/>
  <c r="J40" i="1"/>
  <c r="I40" i="1"/>
  <c r="K40" i="1"/>
  <c r="I39" i="1"/>
  <c r="J39" i="1"/>
  <c r="K39" i="1"/>
  <c r="L39" i="1"/>
  <c r="M39" i="1"/>
  <c r="N39" i="1"/>
  <c r="I38" i="1"/>
  <c r="N38" i="1"/>
  <c r="M38" i="1"/>
  <c r="L38" i="1"/>
  <c r="K38" i="1"/>
  <c r="J38" i="1"/>
  <c r="N37" i="1"/>
  <c r="L37" i="1"/>
  <c r="K37" i="1"/>
  <c r="J37" i="1"/>
  <c r="M37" i="1"/>
  <c r="I37" i="1"/>
  <c r="N36" i="1"/>
  <c r="L36" i="1"/>
  <c r="M36" i="1"/>
  <c r="K36" i="1"/>
  <c r="J36" i="1"/>
  <c r="I36" i="1"/>
  <c r="O36" i="1" s="1"/>
  <c r="N35" i="1"/>
  <c r="M35" i="1"/>
  <c r="L35" i="1"/>
  <c r="K35" i="1"/>
  <c r="J35" i="1"/>
  <c r="I35" i="1"/>
  <c r="O35" i="1" s="1"/>
  <c r="N34" i="1"/>
  <c r="M34" i="1"/>
  <c r="L34" i="1"/>
  <c r="K34" i="1"/>
  <c r="J34" i="1"/>
  <c r="I34" i="1"/>
  <c r="O34" i="1" s="1"/>
  <c r="I33" i="1"/>
  <c r="N33" i="1"/>
  <c r="M33" i="1"/>
  <c r="L33" i="1"/>
  <c r="K33" i="1"/>
  <c r="J33" i="1"/>
  <c r="J32" i="1"/>
  <c r="I32" i="1"/>
  <c r="N32" i="1"/>
  <c r="M32" i="1"/>
  <c r="L32" i="1"/>
  <c r="K32" i="1"/>
  <c r="J31" i="1"/>
  <c r="K31" i="1"/>
  <c r="L31" i="1"/>
  <c r="M31" i="1"/>
  <c r="N31" i="1"/>
  <c r="I31" i="1"/>
  <c r="O31" i="1" s="1"/>
  <c r="J30" i="1"/>
  <c r="K30" i="1"/>
  <c r="L30" i="1"/>
  <c r="M30" i="1"/>
  <c r="N30" i="1"/>
  <c r="I30" i="1"/>
  <c r="O30" i="1" s="1"/>
  <c r="J29" i="1"/>
  <c r="I29" i="1"/>
  <c r="N29" i="1"/>
  <c r="M29" i="1"/>
  <c r="L29" i="1"/>
  <c r="K29" i="1"/>
  <c r="I28" i="1"/>
  <c r="J28" i="1"/>
  <c r="K28" i="1"/>
  <c r="M28" i="1"/>
  <c r="N28" i="1"/>
  <c r="L28" i="1"/>
  <c r="I27" i="1"/>
  <c r="J27" i="1"/>
  <c r="K27" i="1"/>
  <c r="L27" i="1"/>
  <c r="M27" i="1"/>
  <c r="N27" i="1"/>
  <c r="N26" i="1"/>
  <c r="I26" i="1"/>
  <c r="J26" i="1"/>
  <c r="K26" i="1"/>
  <c r="L26" i="1"/>
  <c r="M26" i="1"/>
  <c r="N25" i="1"/>
  <c r="M25" i="1"/>
  <c r="L25" i="1"/>
  <c r="K25" i="1"/>
  <c r="J25" i="1"/>
  <c r="I25" i="1"/>
  <c r="O25" i="1" s="1"/>
  <c r="N24" i="1"/>
  <c r="M24" i="1"/>
  <c r="L24" i="1"/>
  <c r="K24" i="1"/>
  <c r="J24" i="1"/>
  <c r="I24" i="1"/>
  <c r="O24" i="1" s="1"/>
  <c r="N23" i="1"/>
  <c r="M23" i="1"/>
  <c r="L23" i="1"/>
  <c r="J23" i="1"/>
  <c r="I23" i="1"/>
  <c r="K23" i="1"/>
  <c r="N22" i="1"/>
  <c r="M22" i="1"/>
  <c r="L22" i="1"/>
  <c r="K22" i="1"/>
  <c r="J22" i="1"/>
  <c r="I22" i="1"/>
  <c r="O22" i="1" s="1"/>
  <c r="N21" i="1"/>
  <c r="M21" i="1"/>
  <c r="L21" i="1"/>
  <c r="K21" i="1"/>
  <c r="J21" i="1"/>
  <c r="I21" i="1"/>
  <c r="O21" i="1" s="1"/>
  <c r="N20" i="1"/>
  <c r="M20" i="1"/>
  <c r="L20" i="1"/>
  <c r="K20" i="1"/>
  <c r="J20" i="1"/>
  <c r="I20" i="1"/>
  <c r="O20" i="1" s="1"/>
  <c r="N19" i="1"/>
  <c r="M19" i="1"/>
  <c r="L19" i="1"/>
  <c r="K19" i="1"/>
  <c r="J19" i="1"/>
  <c r="I19" i="1"/>
  <c r="O19" i="1" s="1"/>
  <c r="N18" i="1"/>
  <c r="L18" i="1"/>
  <c r="K18" i="1"/>
  <c r="I18" i="1"/>
  <c r="J18" i="1"/>
  <c r="M18" i="1"/>
  <c r="I17" i="1"/>
  <c r="N17" i="1"/>
  <c r="M17" i="1"/>
  <c r="L17" i="1"/>
  <c r="J17" i="1"/>
  <c r="K17" i="1"/>
  <c r="N16" i="1"/>
  <c r="K16" i="1"/>
  <c r="I16" i="1"/>
  <c r="M16" i="1"/>
  <c r="L16" i="1"/>
  <c r="J16" i="1"/>
  <c r="L15" i="1"/>
  <c r="I15" i="1"/>
  <c r="M15" i="1"/>
  <c r="K15" i="1"/>
  <c r="N15" i="1"/>
  <c r="J15" i="1"/>
  <c r="J14" i="1"/>
  <c r="L14" i="1"/>
  <c r="M14" i="1"/>
  <c r="N14" i="1"/>
  <c r="K14" i="1"/>
  <c r="I14" i="1"/>
  <c r="O14" i="1" s="1"/>
  <c r="K13" i="1"/>
  <c r="J13" i="1"/>
  <c r="L13" i="1"/>
  <c r="M13" i="1"/>
  <c r="I13" i="1"/>
  <c r="N13" i="1"/>
  <c r="J12" i="1"/>
  <c r="I12" i="1"/>
  <c r="K12" i="1"/>
  <c r="L12" i="1"/>
  <c r="M12" i="1"/>
  <c r="N12" i="1"/>
  <c r="J11" i="1"/>
  <c r="K11" i="1"/>
  <c r="L11" i="1"/>
  <c r="M11" i="1"/>
  <c r="I11" i="1"/>
  <c r="N11" i="1"/>
  <c r="M10" i="1"/>
  <c r="I10" i="1"/>
  <c r="L10" i="1"/>
  <c r="N10" i="1"/>
  <c r="K10" i="1"/>
  <c r="J10" i="1"/>
  <c r="I9" i="1"/>
  <c r="K9" i="1"/>
  <c r="L9" i="1"/>
  <c r="M9" i="1"/>
  <c r="N9" i="1"/>
  <c r="J9" i="1"/>
  <c r="M8" i="1"/>
  <c r="N8" i="1"/>
  <c r="L8" i="1"/>
  <c r="K8" i="1"/>
  <c r="I8" i="1"/>
  <c r="J8" i="1"/>
  <c r="J7" i="1"/>
  <c r="K7" i="1"/>
  <c r="L7" i="1"/>
  <c r="M7" i="1"/>
  <c r="N7" i="1"/>
  <c r="I7" i="1"/>
  <c r="I6" i="1"/>
  <c r="K6" i="1"/>
  <c r="L6" i="1"/>
  <c r="M6" i="1"/>
  <c r="J6" i="1"/>
  <c r="N6" i="1"/>
  <c r="N5" i="1"/>
  <c r="L5" i="1"/>
  <c r="K5" i="1"/>
  <c r="I5" i="1"/>
  <c r="J5" i="1"/>
  <c r="M5" i="1"/>
  <c r="L4" i="1"/>
  <c r="K4" i="1"/>
  <c r="J4" i="1"/>
  <c r="I4" i="1"/>
  <c r="M4" i="1"/>
  <c r="N4" i="1"/>
  <c r="M3" i="1"/>
  <c r="L3" i="1"/>
  <c r="N3" i="1"/>
  <c r="J3" i="1"/>
  <c r="I3" i="1"/>
  <c r="K3" i="1"/>
  <c r="K2" i="1"/>
  <c r="I2" i="1"/>
  <c r="N2" i="1"/>
  <c r="M2" i="1"/>
  <c r="L2" i="1"/>
  <c r="J2" i="1"/>
  <c r="O75" i="1" l="1"/>
  <c r="B23" i="2"/>
  <c r="B24" i="2"/>
  <c r="B22" i="2"/>
  <c r="O37" i="1"/>
  <c r="B21" i="2"/>
  <c r="B25" i="2"/>
  <c r="O7" i="1"/>
  <c r="O321" i="1"/>
  <c r="O92" i="1"/>
  <c r="O388" i="1"/>
  <c r="O183" i="1"/>
  <c r="O67" i="1"/>
  <c r="O218" i="1"/>
  <c r="O204" i="1"/>
  <c r="O202" i="1"/>
  <c r="O194" i="1"/>
  <c r="O434" i="1"/>
  <c r="O336" i="1"/>
  <c r="O472" i="1"/>
  <c r="O459" i="1"/>
  <c r="O412" i="1"/>
  <c r="O397" i="1"/>
  <c r="O394" i="1"/>
  <c r="O217" i="1"/>
  <c r="O317" i="1"/>
  <c r="O230" i="1"/>
  <c r="O215" i="1"/>
  <c r="O178" i="1"/>
  <c r="O172" i="1"/>
  <c r="O164" i="1"/>
  <c r="O163" i="1"/>
  <c r="O162" i="1"/>
  <c r="O159" i="1"/>
  <c r="O146" i="1"/>
  <c r="O142" i="1"/>
  <c r="O138" i="1"/>
  <c r="O125" i="1"/>
  <c r="O121" i="1"/>
  <c r="O111" i="1"/>
  <c r="O110" i="1"/>
  <c r="O108" i="1"/>
  <c r="O185" i="1"/>
  <c r="O176" i="1"/>
  <c r="O189" i="1"/>
  <c r="O525" i="1"/>
  <c r="O524" i="1"/>
  <c r="O523" i="1"/>
  <c r="O522" i="1"/>
  <c r="O521" i="1"/>
  <c r="O520" i="1"/>
  <c r="O519" i="1"/>
  <c r="O518" i="1"/>
  <c r="O516" i="1"/>
  <c r="O515" i="1"/>
  <c r="O514" i="1"/>
  <c r="O513" i="1"/>
  <c r="O512" i="1"/>
  <c r="O510" i="1"/>
  <c r="O509" i="1"/>
  <c r="O508" i="1"/>
  <c r="O507" i="1"/>
  <c r="O506" i="1"/>
  <c r="O504" i="1"/>
  <c r="O503" i="1"/>
  <c r="O502" i="1"/>
  <c r="O501" i="1"/>
  <c r="O499" i="1"/>
  <c r="O498" i="1"/>
  <c r="O497" i="1"/>
  <c r="O495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78" i="1"/>
  <c r="O477" i="1"/>
  <c r="O473" i="1"/>
  <c r="O469" i="1"/>
  <c r="O465" i="1"/>
  <c r="O464" i="1"/>
  <c r="O463" i="1"/>
  <c r="O458" i="1"/>
  <c r="O406" i="1"/>
  <c r="O393" i="1"/>
  <c r="O392" i="1"/>
  <c r="O225" i="1"/>
  <c r="O203" i="1"/>
  <c r="O167" i="1"/>
  <c r="O156" i="1"/>
  <c r="O137" i="1"/>
  <c r="O132" i="1"/>
  <c r="O120" i="1"/>
  <c r="O115" i="1"/>
  <c r="O107" i="1"/>
  <c r="O106" i="1"/>
  <c r="O457" i="1"/>
  <c r="O456" i="1"/>
  <c r="O450" i="1"/>
  <c r="O449" i="1"/>
  <c r="O448" i="1"/>
  <c r="O447" i="1"/>
  <c r="O445" i="1"/>
  <c r="O443" i="1"/>
  <c r="O442" i="1"/>
  <c r="O441" i="1"/>
  <c r="O440" i="1"/>
  <c r="O438" i="1"/>
  <c r="O437" i="1"/>
  <c r="O436" i="1"/>
  <c r="O433" i="1"/>
  <c r="O432" i="1"/>
  <c r="O430" i="1"/>
  <c r="O428" i="1"/>
  <c r="O427" i="1"/>
  <c r="O418" i="1"/>
  <c r="O417" i="1"/>
  <c r="O413" i="1"/>
  <c r="O411" i="1"/>
  <c r="O408" i="1"/>
  <c r="O402" i="1"/>
  <c r="O396" i="1"/>
  <c r="O390" i="1"/>
  <c r="O228" i="1"/>
  <c r="O222" i="1"/>
  <c r="O220" i="1"/>
  <c r="O213" i="1"/>
  <c r="O200" i="1"/>
  <c r="O193" i="1"/>
  <c r="O181" i="1"/>
  <c r="O174" i="1"/>
  <c r="O154" i="1"/>
  <c r="O150" i="1"/>
  <c r="O147" i="1"/>
  <c r="O143" i="1"/>
  <c r="O139" i="1"/>
  <c r="O129" i="1"/>
  <c r="O124" i="1"/>
  <c r="O383" i="1"/>
  <c r="O382" i="1"/>
  <c r="O381" i="1"/>
  <c r="O380" i="1"/>
  <c r="O379" i="1"/>
  <c r="O378" i="1"/>
  <c r="O377" i="1"/>
  <c r="O376" i="1"/>
  <c r="O374" i="1"/>
  <c r="O373" i="1"/>
  <c r="O372" i="1"/>
  <c r="O370" i="1"/>
  <c r="O369" i="1"/>
  <c r="O368" i="1"/>
  <c r="O367" i="1"/>
  <c r="O366" i="1"/>
  <c r="O365" i="1"/>
  <c r="O363" i="1"/>
  <c r="O362" i="1"/>
  <c r="O360" i="1"/>
  <c r="O358" i="1"/>
  <c r="O357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0" i="1"/>
  <c r="O339" i="1"/>
  <c r="O338" i="1"/>
  <c r="O337" i="1"/>
  <c r="O334" i="1"/>
  <c r="O333" i="1"/>
  <c r="O332" i="1"/>
  <c r="O330" i="1"/>
  <c r="O329" i="1"/>
  <c r="O328" i="1"/>
  <c r="O327" i="1"/>
  <c r="O326" i="1"/>
  <c r="O226" i="1"/>
  <c r="O224" i="1"/>
  <c r="O212" i="1"/>
  <c r="O186" i="1"/>
  <c r="O161" i="1"/>
  <c r="O151" i="1"/>
  <c r="O149" i="1"/>
  <c r="O316" i="1"/>
  <c r="O315" i="1"/>
  <c r="O313" i="1"/>
  <c r="O312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4" i="1"/>
  <c r="O293" i="1"/>
  <c r="O292" i="1"/>
  <c r="O291" i="1"/>
  <c r="O290" i="1"/>
  <c r="O289" i="1"/>
  <c r="O288" i="1"/>
  <c r="O287" i="1"/>
  <c r="O286" i="1"/>
  <c r="O285" i="1"/>
  <c r="O283" i="1"/>
  <c r="O282" i="1"/>
  <c r="O280" i="1"/>
  <c r="O279" i="1"/>
  <c r="O278" i="1"/>
  <c r="O276" i="1"/>
  <c r="O274" i="1"/>
  <c r="O273" i="1"/>
  <c r="O272" i="1"/>
  <c r="O271" i="1"/>
  <c r="O270" i="1"/>
  <c r="O269" i="1"/>
  <c r="O268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2" i="1"/>
  <c r="O250" i="1"/>
  <c r="O249" i="1"/>
  <c r="O248" i="1"/>
  <c r="O246" i="1"/>
  <c r="O245" i="1"/>
  <c r="O244" i="1"/>
  <c r="O241" i="1"/>
  <c r="O240" i="1"/>
  <c r="O239" i="1"/>
  <c r="O236" i="1"/>
  <c r="O235" i="1"/>
  <c r="O234" i="1"/>
  <c r="O232" i="1"/>
  <c r="O231" i="1"/>
  <c r="O221" i="1"/>
  <c r="O216" i="1"/>
  <c r="O210" i="1"/>
  <c r="O209" i="1"/>
  <c r="O205" i="1"/>
  <c r="O197" i="1"/>
  <c r="O196" i="1"/>
  <c r="O190" i="1"/>
  <c r="O187" i="1"/>
  <c r="O184" i="1"/>
  <c r="O177" i="1"/>
  <c r="O171" i="1"/>
  <c r="O168" i="1"/>
  <c r="O166" i="1"/>
  <c r="O155" i="1"/>
  <c r="O136" i="1"/>
  <c r="O126" i="1"/>
  <c r="O123" i="1"/>
  <c r="O117" i="1"/>
  <c r="O113" i="1"/>
  <c r="O112" i="1"/>
  <c r="O105" i="1"/>
  <c r="O104" i="1"/>
  <c r="O103" i="1"/>
  <c r="O102" i="1"/>
  <c r="O101" i="1"/>
  <c r="O100" i="1"/>
  <c r="O99" i="1"/>
  <c r="O98" i="1"/>
  <c r="O97" i="1"/>
  <c r="O96" i="1"/>
  <c r="O95" i="1"/>
  <c r="O93" i="1"/>
  <c r="O91" i="1"/>
  <c r="O90" i="1"/>
  <c r="O89" i="1"/>
  <c r="O88" i="1"/>
  <c r="O87" i="1"/>
  <c r="O86" i="1"/>
  <c r="O85" i="1"/>
  <c r="O84" i="1"/>
  <c r="O83" i="1"/>
  <c r="O81" i="1"/>
  <c r="O80" i="1"/>
  <c r="O79" i="1"/>
  <c r="O78" i="1"/>
  <c r="O77" i="1"/>
  <c r="O76" i="1"/>
  <c r="O74" i="1"/>
  <c r="O73" i="1"/>
  <c r="O72" i="1"/>
  <c r="O71" i="1"/>
  <c r="O70" i="1"/>
  <c r="O69" i="1"/>
  <c r="O68" i="1"/>
  <c r="O64" i="1"/>
  <c r="O62" i="1"/>
  <c r="O61" i="1"/>
  <c r="O60" i="1"/>
  <c r="O59" i="1"/>
  <c r="O58" i="1"/>
  <c r="O57" i="1"/>
  <c r="O56" i="1"/>
  <c r="O55" i="1"/>
  <c r="O54" i="1"/>
  <c r="O51" i="1"/>
  <c r="O50" i="1"/>
  <c r="O49" i="1"/>
  <c r="O48" i="1"/>
  <c r="O46" i="1"/>
  <c r="O45" i="1"/>
  <c r="O44" i="1"/>
  <c r="O43" i="1"/>
  <c r="O41" i="1"/>
  <c r="O40" i="1"/>
  <c r="O39" i="1"/>
  <c r="O38" i="1"/>
  <c r="O229" i="1"/>
  <c r="O219" i="1"/>
  <c r="O208" i="1"/>
  <c r="O206" i="1"/>
  <c r="O199" i="1"/>
  <c r="O192" i="1"/>
  <c r="O191" i="1"/>
  <c r="O188" i="1"/>
  <c r="O180" i="1"/>
  <c r="O175" i="1"/>
  <c r="O173" i="1"/>
  <c r="O170" i="1"/>
  <c r="O157" i="1"/>
  <c r="O152" i="1"/>
  <c r="O141" i="1"/>
  <c r="O135" i="1"/>
  <c r="O130" i="1"/>
  <c r="O128" i="1"/>
  <c r="O127" i="1"/>
  <c r="O116" i="1"/>
  <c r="O109" i="1"/>
  <c r="O33" i="1"/>
  <c r="O32" i="1"/>
  <c r="O29" i="1"/>
  <c r="O28" i="1"/>
  <c r="O27" i="1"/>
  <c r="O26" i="1"/>
  <c r="O23" i="1"/>
  <c r="O18" i="1"/>
  <c r="O17" i="1"/>
  <c r="O16" i="1"/>
  <c r="O15" i="1"/>
  <c r="O13" i="1"/>
  <c r="O12" i="1"/>
  <c r="O11" i="1"/>
  <c r="O10" i="1"/>
  <c r="O9" i="1"/>
  <c r="O8" i="1"/>
  <c r="O6" i="1"/>
  <c r="O5" i="1"/>
  <c r="O4" i="1"/>
  <c r="O3" i="1"/>
  <c r="O2" i="1"/>
  <c r="O479" i="1"/>
  <c r="O476" i="1"/>
  <c r="O474" i="1"/>
  <c r="O468" i="1"/>
  <c r="O467" i="1"/>
  <c r="O466" i="1"/>
  <c r="O462" i="1"/>
  <c r="O461" i="1"/>
  <c r="O460" i="1"/>
  <c r="O424" i="1"/>
  <c r="O423" i="1"/>
  <c r="O421" i="1"/>
  <c r="O416" i="1"/>
  <c r="O415" i="1"/>
  <c r="O409" i="1"/>
  <c r="O407" i="1"/>
  <c r="O404" i="1"/>
  <c r="O401" i="1"/>
  <c r="O400" i="1"/>
  <c r="O395" i="1"/>
  <c r="O391" i="1"/>
  <c r="O322" i="1"/>
  <c r="O227" i="1"/>
  <c r="O211" i="1"/>
  <c r="O207" i="1"/>
  <c r="O198" i="1"/>
  <c r="O160" i="1"/>
  <c r="O158" i="1"/>
  <c r="O153" i="1"/>
  <c r="O145" i="1"/>
  <c r="O131" i="1"/>
  <c r="O114" i="1"/>
  <c r="B12" i="2" l="1"/>
  <c r="B17" i="2"/>
  <c r="C21" i="2" l="1"/>
  <c r="C23" i="2"/>
  <c r="C26" i="2"/>
  <c r="C24" i="2"/>
  <c r="B13" i="2"/>
  <c r="C22" i="2"/>
  <c r="C25" i="2"/>
  <c r="E21" i="2" l="1"/>
  <c r="D21" i="2"/>
  <c r="E23" i="2"/>
  <c r="D23" i="2"/>
  <c r="D26" i="2"/>
  <c r="E26" i="2"/>
  <c r="E24" i="2"/>
  <c r="D24" i="2"/>
  <c r="B16" i="2"/>
  <c r="B15" i="2"/>
  <c r="B14" i="2"/>
  <c r="E22" i="2"/>
  <c r="D22" i="2"/>
  <c r="E25" i="2"/>
  <c r="D25" i="2"/>
</calcChain>
</file>

<file path=xl/sharedStrings.xml><?xml version="1.0" encoding="utf-8"?>
<sst xmlns="http://schemas.openxmlformats.org/spreadsheetml/2006/main" count="3889" uniqueCount="759">
  <si>
    <t>Player</t>
  </si>
  <si>
    <t>Team</t>
  </si>
  <si>
    <t>Set</t>
  </si>
  <si>
    <t>Set Prefix</t>
  </si>
  <si>
    <t>Code</t>
  </si>
  <si>
    <t>Base serial (text)</t>
  </si>
  <si>
    <t>Parallels (text)</t>
  </si>
  <si>
    <t>Base serial (number)</t>
  </si>
  <si>
    <t>Print /99</t>
  </si>
  <si>
    <t>Print /50</t>
  </si>
  <si>
    <t>Print /25</t>
  </si>
  <si>
    <t>Print /10</t>
  </si>
  <si>
    <t>Print /5</t>
  </si>
  <si>
    <t>Print 1/1</t>
  </si>
  <si>
    <t>Total print for this checklist line</t>
  </si>
  <si>
    <t>Alessandro Costacurta</t>
  </si>
  <si>
    <t>AC Milan</t>
  </si>
  <si>
    <t>Autograph Dual Relics</t>
  </si>
  <si>
    <t>ADRL</t>
  </si>
  <si>
    <t>ADRL-AC</t>
  </si>
  <si>
    <t>/10</t>
  </si>
  <si>
    <t>Black /5; Gold 1/1</t>
  </si>
  <si>
    <t>Alessandro Del Piero</t>
  </si>
  <si>
    <t>Juventus</t>
  </si>
  <si>
    <t>ADRL-AD</t>
  </si>
  <si>
    <t>Bastian Schweinsteiger</t>
  </si>
  <si>
    <t>FC Bayern München</t>
  </si>
  <si>
    <t>ADRL-BS</t>
  </si>
  <si>
    <t>Gianluigi Buffon</t>
  </si>
  <si>
    <t>ADRL-BU</t>
  </si>
  <si>
    <t>Dida</t>
  </si>
  <si>
    <t>ADRL-D</t>
  </si>
  <si>
    <t>Dennis Bergkamp</t>
  </si>
  <si>
    <t>Arsenal</t>
  </si>
  <si>
    <t>ADRL-DB</t>
  </si>
  <si>
    <t>Deco</t>
  </si>
  <si>
    <t>Chelsea FC</t>
  </si>
  <si>
    <t>ADRL-DE</t>
  </si>
  <si>
    <t>Paul Gascoigne</t>
  </si>
  <si>
    <t>Rangers FC</t>
  </si>
  <si>
    <t>ADRL-GA</t>
  </si>
  <si>
    <t>Gareth Bale</t>
  </si>
  <si>
    <t>Real Madrid C.F.</t>
  </si>
  <si>
    <t>ADRL-GB</t>
  </si>
  <si>
    <t>Giorgio Chiellini</t>
  </si>
  <si>
    <t>ADRL-GC</t>
  </si>
  <si>
    <t>Kenny Dalglish</t>
  </si>
  <si>
    <t>Liverpool FC</t>
  </si>
  <si>
    <t>ADRL-KD</t>
  </si>
  <si>
    <t>Kevin Keegan</t>
  </si>
  <si>
    <t>ADRL-KK</t>
  </si>
  <si>
    <t>Lionel Messi</t>
  </si>
  <si>
    <t>FC Barcelona</t>
  </si>
  <si>
    <t>ADRL-LM</t>
  </si>
  <si>
    <t>Lothar Matthäus</t>
  </si>
  <si>
    <t>ADRL-MA</t>
  </si>
  <si>
    <t>Pavel Nedvěd</t>
  </si>
  <si>
    <t>ADRL-PN</t>
  </si>
  <si>
    <t>Ronaldo</t>
  </si>
  <si>
    <t>ADRL-R</t>
  </si>
  <si>
    <t>Stefan Effenberg</t>
  </si>
  <si>
    <t>ADRL-SE</t>
  </si>
  <si>
    <t>Wayne Rooney</t>
  </si>
  <si>
    <t>Manchester United</t>
  </si>
  <si>
    <t>ADRL-WR</t>
  </si>
  <si>
    <t>Zinédine Zidane</t>
  </si>
  <si>
    <t>ADRL-ZZ</t>
  </si>
  <si>
    <t>Cole Palmer</t>
  </si>
  <si>
    <t>ADRV</t>
  </si>
  <si>
    <t>ADRV-CP</t>
  </si>
  <si>
    <t>Erling Haaland</t>
  </si>
  <si>
    <t>Manchester City</t>
  </si>
  <si>
    <t>ADRV-EH</t>
  </si>
  <si>
    <t>Gavi</t>
  </si>
  <si>
    <t>ADRV-G</t>
  </si>
  <si>
    <t>Geovany Quenda</t>
  </si>
  <si>
    <t>Sporting Clube de Portugal</t>
  </si>
  <si>
    <t>ADRV-GQ</t>
  </si>
  <si>
    <t>Harry Kane</t>
  </si>
  <si>
    <t>ADRV-HK</t>
  </si>
  <si>
    <t>Jude Bellingham</t>
  </si>
  <si>
    <t>ADRV-JB</t>
  </si>
  <si>
    <t>Jamal Musiala</t>
  </si>
  <si>
    <t>ADRV-JM</t>
  </si>
  <si>
    <t>Kobbie Mainoo</t>
  </si>
  <si>
    <t>ADRV-KM</t>
  </si>
  <si>
    <t>Paulo Dybala</t>
  </si>
  <si>
    <t>AS Roma</t>
  </si>
  <si>
    <t>ADRV-PD</t>
  </si>
  <si>
    <t>Phil Foden</t>
  </si>
  <si>
    <t>ADRV-PF</t>
  </si>
  <si>
    <t>Thomas Müller</t>
  </si>
  <si>
    <t>ADRV-TM</t>
  </si>
  <si>
    <t>Virgil van Dijk</t>
  </si>
  <si>
    <t>ADRV-VV</t>
  </si>
  <si>
    <t>Debut Day Inscriptions</t>
  </si>
  <si>
    <t>DI</t>
  </si>
  <si>
    <t>DI-AD</t>
  </si>
  <si>
    <t>(not stated on checklist)</t>
  </si>
  <si>
    <t>DI-BS</t>
  </si>
  <si>
    <t>DI-D</t>
  </si>
  <si>
    <t>FC Salzburg</t>
  </si>
  <si>
    <t>DI-EH</t>
  </si>
  <si>
    <t>Filippo Inzaghi</t>
  </si>
  <si>
    <t>DI-FI</t>
  </si>
  <si>
    <t>Frank Lampard</t>
  </si>
  <si>
    <t>DI-FL</t>
  </si>
  <si>
    <t>Fernando Morientes</t>
  </si>
  <si>
    <t>DI-FM</t>
  </si>
  <si>
    <t>DI-G</t>
  </si>
  <si>
    <t>DI-GC</t>
  </si>
  <si>
    <t>Tottenham Hotspur</t>
  </si>
  <si>
    <t>DI-HK</t>
  </si>
  <si>
    <t>Borussia Dortmund</t>
  </si>
  <si>
    <t>DI-JB</t>
  </si>
  <si>
    <t>Kaká</t>
  </si>
  <si>
    <t>DI-K</t>
  </si>
  <si>
    <t>DI-LM</t>
  </si>
  <si>
    <t>Michael Owen</t>
  </si>
  <si>
    <t>DI-MO</t>
  </si>
  <si>
    <t>Neymar Jr</t>
  </si>
  <si>
    <t>DI-N</t>
  </si>
  <si>
    <t>Oliver Kahn</t>
  </si>
  <si>
    <t>DI-OK</t>
  </si>
  <si>
    <t>Philipp Lahm</t>
  </si>
  <si>
    <t>DI-PL</t>
  </si>
  <si>
    <t>Paolo Maldini</t>
  </si>
  <si>
    <t>DI-PM</t>
  </si>
  <si>
    <t>Paul Scholes</t>
  </si>
  <si>
    <t>DI-PS</t>
  </si>
  <si>
    <t>Rivaldo</t>
  </si>
  <si>
    <t>DI-R</t>
  </si>
  <si>
    <t>Roberto Carlos</t>
  </si>
  <si>
    <t>DI-RC</t>
  </si>
  <si>
    <t>Roy Keane</t>
  </si>
  <si>
    <t>DI-RK</t>
  </si>
  <si>
    <t>FC Internazionale Milano</t>
  </si>
  <si>
    <t>DI-RO</t>
  </si>
  <si>
    <t>Sergio Agüero</t>
  </si>
  <si>
    <t>Atlético de Madrid</t>
  </si>
  <si>
    <t>DI-SA</t>
  </si>
  <si>
    <t>Shunsuke Nakamura</t>
  </si>
  <si>
    <t>Celtic FC</t>
  </si>
  <si>
    <t>DI-SN</t>
  </si>
  <si>
    <t>Vini Jr.</t>
  </si>
  <si>
    <t>DI-V</t>
  </si>
  <si>
    <t>DI-WR</t>
  </si>
  <si>
    <t>DI-ZZ</t>
  </si>
  <si>
    <t>Rivaldo / Ronaldo</t>
  </si>
  <si>
    <t>Dual Autograph Patch</t>
  </si>
  <si>
    <t>DAPL</t>
  </si>
  <si>
    <t>DAPL-RR</t>
  </si>
  <si>
    <t>Luis Suárez / Lionel Messi</t>
  </si>
  <si>
    <t>DAPL-SM</t>
  </si>
  <si>
    <t>Jude Bellingham / Vini Jr.</t>
  </si>
  <si>
    <t>DAPV</t>
  </si>
  <si>
    <t>DAPV-BV</t>
  </si>
  <si>
    <t>Erling Haaland / Phil Foden</t>
  </si>
  <si>
    <t>DAPV-HF</t>
  </si>
  <si>
    <t>Harry Kane / Jamal Musiala</t>
  </si>
  <si>
    <t>DAPV-KM</t>
  </si>
  <si>
    <t>Mohamed Salah / Virgil van Dijk</t>
  </si>
  <si>
    <t>DAPV-SV</t>
  </si>
  <si>
    <t>Dynasty Autograph Patch</t>
  </si>
  <si>
    <t>APL</t>
  </si>
  <si>
    <t>APL-AD1</t>
  </si>
  <si>
    <t>APL-AD2</t>
  </si>
  <si>
    <t>APL-AD3</t>
  </si>
  <si>
    <t>APL-AD4</t>
  </si>
  <si>
    <t>APL-AD5</t>
  </si>
  <si>
    <t>APL-AD6</t>
  </si>
  <si>
    <t>APL-AD7</t>
  </si>
  <si>
    <t>Andrés Iniesta</t>
  </si>
  <si>
    <t>APL-AI1</t>
  </si>
  <si>
    <t>APL-AI2</t>
  </si>
  <si>
    <t>APL-AI3</t>
  </si>
  <si>
    <t>APL-AI4</t>
  </si>
  <si>
    <t>Andrea Pirlo</t>
  </si>
  <si>
    <t>APL-AP1</t>
  </si>
  <si>
    <t>APL-AP2</t>
  </si>
  <si>
    <t>APL-AP3</t>
  </si>
  <si>
    <t>APL-BS1</t>
  </si>
  <si>
    <t>APL-BS2</t>
  </si>
  <si>
    <t>APL-BS3</t>
  </si>
  <si>
    <t>APL-BS4</t>
  </si>
  <si>
    <t>APL-BU1</t>
  </si>
  <si>
    <t>APL-DB1</t>
  </si>
  <si>
    <t>APL-DB2</t>
  </si>
  <si>
    <t>APL-DB3</t>
  </si>
  <si>
    <t>APL-DE1</t>
  </si>
  <si>
    <t>APL-DE2</t>
  </si>
  <si>
    <t>APL-DE3</t>
  </si>
  <si>
    <t>APL-DE4</t>
  </si>
  <si>
    <t>APL-DI1</t>
  </si>
  <si>
    <t>APL-DI2</t>
  </si>
  <si>
    <t>APL-DI3</t>
  </si>
  <si>
    <t>Fernando Torres</t>
  </si>
  <si>
    <t>APL-FT4</t>
  </si>
  <si>
    <t>APL-FT5</t>
  </si>
  <si>
    <t>APL-FT6</t>
  </si>
  <si>
    <t>APL-GB1</t>
  </si>
  <si>
    <t>APL-GB2</t>
  </si>
  <si>
    <t>APL-GB3</t>
  </si>
  <si>
    <t>APL-GB4</t>
  </si>
  <si>
    <t>APL-GB5</t>
  </si>
  <si>
    <t>APL-GB6</t>
  </si>
  <si>
    <t>APL-GC1</t>
  </si>
  <si>
    <t>APL-GC2</t>
  </si>
  <si>
    <t>APL-GC3</t>
  </si>
  <si>
    <t>APL-GC4</t>
  </si>
  <si>
    <t>APL-GC5</t>
  </si>
  <si>
    <t>Gennaro Gattuso</t>
  </si>
  <si>
    <t>APL-GG1</t>
  </si>
  <si>
    <t>APL-GG2</t>
  </si>
  <si>
    <t>APL-KA1</t>
  </si>
  <si>
    <t>APL-KA2</t>
  </si>
  <si>
    <t>APL-KA3</t>
  </si>
  <si>
    <t>APL-KD1</t>
  </si>
  <si>
    <t>APL-KD4</t>
  </si>
  <si>
    <t>Luís Figo</t>
  </si>
  <si>
    <t>APL-LF1</t>
  </si>
  <si>
    <t>APL-LF2</t>
  </si>
  <si>
    <t>APL-LF3</t>
  </si>
  <si>
    <t>APL-LF4</t>
  </si>
  <si>
    <t>APL-LM1</t>
  </si>
  <si>
    <t>APL-LM2</t>
  </si>
  <si>
    <t>APL-LM3</t>
  </si>
  <si>
    <t>APL-LM4</t>
  </si>
  <si>
    <t>APL-LM5</t>
  </si>
  <si>
    <t>APL-LM6</t>
  </si>
  <si>
    <t>Luis Suárez</t>
  </si>
  <si>
    <t>APL-LS1</t>
  </si>
  <si>
    <t>APL-LS2</t>
  </si>
  <si>
    <t>APL-LS3</t>
  </si>
  <si>
    <t>APL-LS4</t>
  </si>
  <si>
    <t>APL-MA1</t>
  </si>
  <si>
    <t>APL-MA2</t>
  </si>
  <si>
    <t>APL-MA3</t>
  </si>
  <si>
    <t>APL-MA4</t>
  </si>
  <si>
    <t>APL-NJ1</t>
  </si>
  <si>
    <t>APL-NJ2</t>
  </si>
  <si>
    <t>APL-NJ3</t>
  </si>
  <si>
    <t>APL-NJ4</t>
  </si>
  <si>
    <t>APL-NZ1</t>
  </si>
  <si>
    <t>APL-NZ2</t>
  </si>
  <si>
    <t>APL-NZ3</t>
  </si>
  <si>
    <t>APL-NZ4</t>
  </si>
  <si>
    <t>APL-PG1</t>
  </si>
  <si>
    <t>APL-PG2</t>
  </si>
  <si>
    <t>APL-PG3</t>
  </si>
  <si>
    <t>APL-PG4</t>
  </si>
  <si>
    <t>APL-PI1</t>
  </si>
  <si>
    <t>APL-PI2</t>
  </si>
  <si>
    <t>APL-PL1</t>
  </si>
  <si>
    <t>APL-PL2</t>
  </si>
  <si>
    <t>APL-PL3</t>
  </si>
  <si>
    <t>APL-PN1</t>
  </si>
  <si>
    <t>APL-PN2</t>
  </si>
  <si>
    <t>APL-PN3</t>
  </si>
  <si>
    <t>APL-PN4</t>
  </si>
  <si>
    <t>Raúl</t>
  </si>
  <si>
    <t>APL-RA1</t>
  </si>
  <si>
    <t>APL-RA2</t>
  </si>
  <si>
    <t>APL-RA3</t>
  </si>
  <si>
    <t>APL-RD1</t>
  </si>
  <si>
    <t>APL-RD2</t>
  </si>
  <si>
    <t>APL-RD3</t>
  </si>
  <si>
    <t>Ronaldinho</t>
  </si>
  <si>
    <t>APL-RH1</t>
  </si>
  <si>
    <t>APL-RH2</t>
  </si>
  <si>
    <t>APL-RH3</t>
  </si>
  <si>
    <t>APL-RI1</t>
  </si>
  <si>
    <t>APL-RI2</t>
  </si>
  <si>
    <t>APL-RI3</t>
  </si>
  <si>
    <t>APL-RI4</t>
  </si>
  <si>
    <t>APL-RK1</t>
  </si>
  <si>
    <t>APL-RK2</t>
  </si>
  <si>
    <t>APL-RK3</t>
  </si>
  <si>
    <t>APL-RK4</t>
  </si>
  <si>
    <t>APL-RO1</t>
  </si>
  <si>
    <t>APL-RO2</t>
  </si>
  <si>
    <t>APL-RO3</t>
  </si>
  <si>
    <t>APL-RO4</t>
  </si>
  <si>
    <t>APL-RV1</t>
  </si>
  <si>
    <t>APL-RV2</t>
  </si>
  <si>
    <t>APL-RV3</t>
  </si>
  <si>
    <t>APL-RV4</t>
  </si>
  <si>
    <t>APL-RV5</t>
  </si>
  <si>
    <t>APL-RV6</t>
  </si>
  <si>
    <t>APL-RV7</t>
  </si>
  <si>
    <t>APL-SA1</t>
  </si>
  <si>
    <t>APL-SA2</t>
  </si>
  <si>
    <t>APL-SA3</t>
  </si>
  <si>
    <t>APL-SA4</t>
  </si>
  <si>
    <t>APL-SA5</t>
  </si>
  <si>
    <t>APL-SA6</t>
  </si>
  <si>
    <t>APL-SA7</t>
  </si>
  <si>
    <t>Sergio Busquets</t>
  </si>
  <si>
    <t>APL-SB1</t>
  </si>
  <si>
    <t>APL-SB2</t>
  </si>
  <si>
    <t>APL-SB3</t>
  </si>
  <si>
    <t>APL-SB4</t>
  </si>
  <si>
    <t>APL-SB5</t>
  </si>
  <si>
    <t>APL-SE1</t>
  </si>
  <si>
    <t>APL-SE2</t>
  </si>
  <si>
    <t>APL-SE3</t>
  </si>
  <si>
    <t>APL-SE4</t>
  </si>
  <si>
    <t>APL-SE5</t>
  </si>
  <si>
    <t>APL-SE6</t>
  </si>
  <si>
    <t>Francesco Totti</t>
  </si>
  <si>
    <t>APL-TO1</t>
  </si>
  <si>
    <t>APL-TO2</t>
  </si>
  <si>
    <t>APL-TO3</t>
  </si>
  <si>
    <t>APL-TO4</t>
  </si>
  <si>
    <t>APL-WR1</t>
  </si>
  <si>
    <t>APL-WR2</t>
  </si>
  <si>
    <t>APL-WR3</t>
  </si>
  <si>
    <t>APL-WR4</t>
  </si>
  <si>
    <t>Xavi</t>
  </si>
  <si>
    <t>APL-XA1</t>
  </si>
  <si>
    <t>APL-XA2</t>
  </si>
  <si>
    <t>APL-XA3</t>
  </si>
  <si>
    <t>Zlatan Ibrahimović</t>
  </si>
  <si>
    <t>APL-ZI1</t>
  </si>
  <si>
    <t>APL-ZI2</t>
  </si>
  <si>
    <t>APL-ZI3</t>
  </si>
  <si>
    <t>APL-ZZ1</t>
  </si>
  <si>
    <t>APL-ZZ2</t>
  </si>
  <si>
    <t>APL-ZZ3</t>
  </si>
  <si>
    <t>APL-ZZ4</t>
  </si>
  <si>
    <t>APL-ZZ5</t>
  </si>
  <si>
    <t>Aitana Bonmatí</t>
  </si>
  <si>
    <t>APV</t>
  </si>
  <si>
    <t>APV-AB1</t>
  </si>
  <si>
    <t>APV-AB2</t>
  </si>
  <si>
    <t>APV-AB3</t>
  </si>
  <si>
    <t>APV-AB4</t>
  </si>
  <si>
    <t>Ángel Di María</t>
  </si>
  <si>
    <t>SL Benfica</t>
  </si>
  <si>
    <t>APV-AD1</t>
  </si>
  <si>
    <t>APV-AD2</t>
  </si>
  <si>
    <t>Alejandro Garnacho</t>
  </si>
  <si>
    <t>APV-AG1</t>
  </si>
  <si>
    <t>APV-AG2</t>
  </si>
  <si>
    <t>APV-AG3</t>
  </si>
  <si>
    <t>APV-AG4</t>
  </si>
  <si>
    <t>Alexia Putellas</t>
  </si>
  <si>
    <t>APV-AP1</t>
  </si>
  <si>
    <t>APV-AP2</t>
  </si>
  <si>
    <t>APV-AP3</t>
  </si>
  <si>
    <t>Bradley Barcola</t>
  </si>
  <si>
    <t>Paris Saint-Germain</t>
  </si>
  <si>
    <t>APV-BB1</t>
  </si>
  <si>
    <t>APV-BB2</t>
  </si>
  <si>
    <t>APV-BB3</t>
  </si>
  <si>
    <t>APV-BB4</t>
  </si>
  <si>
    <t>APV-BB5</t>
  </si>
  <si>
    <t>Bruno Fernandes</t>
  </si>
  <si>
    <t>APV-BF1</t>
  </si>
  <si>
    <t>APV-BF2</t>
  </si>
  <si>
    <t>APV-BF3</t>
  </si>
  <si>
    <t>APV-BF4</t>
  </si>
  <si>
    <t>APV-BF5</t>
  </si>
  <si>
    <t>Bukayo Saka</t>
  </si>
  <si>
    <t>APV-BS1</t>
  </si>
  <si>
    <t>APV-BS2</t>
  </si>
  <si>
    <t>APV-BS3</t>
  </si>
  <si>
    <t>Chido Obi</t>
  </si>
  <si>
    <t>APV-CO1</t>
  </si>
  <si>
    <t>APV-CO2</t>
  </si>
  <si>
    <t>APV-CP5</t>
  </si>
  <si>
    <t>APV-CP6</t>
  </si>
  <si>
    <t>Daizen Maeda</t>
  </si>
  <si>
    <t>APV-DM1</t>
  </si>
  <si>
    <t>APV-DM2</t>
  </si>
  <si>
    <t>APV-DM3</t>
  </si>
  <si>
    <t>APV-DM4</t>
  </si>
  <si>
    <t>APV-DM5</t>
  </si>
  <si>
    <t>Eduardo Camavinga</t>
  </si>
  <si>
    <t>APV-EC1</t>
  </si>
  <si>
    <t>APV-EC2</t>
  </si>
  <si>
    <t>APV-EC3</t>
  </si>
  <si>
    <t>APV-EC4</t>
  </si>
  <si>
    <t>APV-EC5</t>
  </si>
  <si>
    <t>APV-EH1</t>
  </si>
  <si>
    <t>APV-EH2</t>
  </si>
  <si>
    <t>APV-EH3</t>
  </si>
  <si>
    <t>APV-EH4</t>
  </si>
  <si>
    <t>APV-EH5</t>
  </si>
  <si>
    <t>Ethan Nwaneri</t>
  </si>
  <si>
    <t>APV-EN1</t>
  </si>
  <si>
    <t>APV-EN2</t>
  </si>
  <si>
    <t>APV-GA1</t>
  </si>
  <si>
    <t>APV-GA2</t>
  </si>
  <si>
    <t>APV-GA3</t>
  </si>
  <si>
    <t>APV-GQ1</t>
  </si>
  <si>
    <t>Antoine Griezmann</t>
  </si>
  <si>
    <t>APV-GR1</t>
  </si>
  <si>
    <t>APV-GR2</t>
  </si>
  <si>
    <t>APV-GR3</t>
  </si>
  <si>
    <t>APV-HK1</t>
  </si>
  <si>
    <t>APV-HK2</t>
  </si>
  <si>
    <t>APV-HK3</t>
  </si>
  <si>
    <t>APV-HK4</t>
  </si>
  <si>
    <t>APV-HK5</t>
  </si>
  <si>
    <t>Heung-Min Son</t>
  </si>
  <si>
    <t>APV-HS3</t>
  </si>
  <si>
    <t>Julián Álvarez</t>
  </si>
  <si>
    <t>APV-JA1</t>
  </si>
  <si>
    <t>APV-JA2</t>
  </si>
  <si>
    <t>APV-JA3</t>
  </si>
  <si>
    <t>APV-JB1</t>
  </si>
  <si>
    <t>APV-JB2</t>
  </si>
  <si>
    <t>APV-JB3</t>
  </si>
  <si>
    <t>APV-JB4</t>
  </si>
  <si>
    <t>APV-JB5</t>
  </si>
  <si>
    <t>APV-JB6</t>
  </si>
  <si>
    <t>Jérémy Doku</t>
  </si>
  <si>
    <t>APV-JD1</t>
  </si>
  <si>
    <t>APV-JD2</t>
  </si>
  <si>
    <t>APV-JD3</t>
  </si>
  <si>
    <t>Lautaro Martínez</t>
  </si>
  <si>
    <t>APV-LA1</t>
  </si>
  <si>
    <t>APV-LA2</t>
  </si>
  <si>
    <t>APV-LA3</t>
  </si>
  <si>
    <t>APV-LA4</t>
  </si>
  <si>
    <t>APV-LA5</t>
  </si>
  <si>
    <t>APV-LA6</t>
  </si>
  <si>
    <t>APV-LA7</t>
  </si>
  <si>
    <t>APV-LA8</t>
  </si>
  <si>
    <t>Luka Modrić</t>
  </si>
  <si>
    <t>APV-LM1</t>
  </si>
  <si>
    <t>APV-LM2</t>
  </si>
  <si>
    <t>APV-LM3</t>
  </si>
  <si>
    <t>APV-LM4</t>
  </si>
  <si>
    <t>APV-LM5</t>
  </si>
  <si>
    <t>APV-LM6</t>
  </si>
  <si>
    <t>APV-MA1</t>
  </si>
  <si>
    <t>APV-MA2</t>
  </si>
  <si>
    <t>APV-MA3</t>
  </si>
  <si>
    <t>Myles Lewis-Skelly</t>
  </si>
  <si>
    <t>APV-ML1</t>
  </si>
  <si>
    <t>APV-ML2</t>
  </si>
  <si>
    <t>Mohamed Salah</t>
  </si>
  <si>
    <t>APV-MS1</t>
  </si>
  <si>
    <t>APV-MS2</t>
  </si>
  <si>
    <t>APV-MS3</t>
  </si>
  <si>
    <t>APV-PD1</t>
  </si>
  <si>
    <t>APV-PD2</t>
  </si>
  <si>
    <t>APV-PD3</t>
  </si>
  <si>
    <t>APV-PD4</t>
  </si>
  <si>
    <t>APV-PD5</t>
  </si>
  <si>
    <t>APV-PD6</t>
  </si>
  <si>
    <t>APV-PF1</t>
  </si>
  <si>
    <t>APV-PF2</t>
  </si>
  <si>
    <t>APV-PF3</t>
  </si>
  <si>
    <t>APV-PF4</t>
  </si>
  <si>
    <t>APV-PF5</t>
  </si>
  <si>
    <t>APV-PF6</t>
  </si>
  <si>
    <t>APV-V3</t>
  </si>
  <si>
    <t>APV-VV1</t>
  </si>
  <si>
    <t>APV-VV2</t>
  </si>
  <si>
    <t>APV-VV3</t>
  </si>
  <si>
    <t>Warren Zaïre-Emery</t>
  </si>
  <si>
    <t>APV-WZ1</t>
  </si>
  <si>
    <t>APV-WZ2</t>
  </si>
  <si>
    <t>APV-WZ3</t>
  </si>
  <si>
    <t>Andriy Shevchenko</t>
  </si>
  <si>
    <t>Dynasty Autographs</t>
  </si>
  <si>
    <t>DAL</t>
  </si>
  <si>
    <t>DAL-AS1</t>
  </si>
  <si>
    <t>DAL-AS2</t>
  </si>
  <si>
    <t>DAL-AS3</t>
  </si>
  <si>
    <t>DAL-AS4</t>
  </si>
  <si>
    <t>Cafu</t>
  </si>
  <si>
    <t>DAL-CA1</t>
  </si>
  <si>
    <t>DAL-CA2</t>
  </si>
  <si>
    <t>DAL-CA3</t>
  </si>
  <si>
    <t>DAL-DB1</t>
  </si>
  <si>
    <t>DAL-DB2</t>
  </si>
  <si>
    <t>Didier Drogba</t>
  </si>
  <si>
    <t>DAL-DD1</t>
  </si>
  <si>
    <t>DAL-DD2</t>
  </si>
  <si>
    <t>DAL-DD4</t>
  </si>
  <si>
    <t>Edgar Davids</t>
  </si>
  <si>
    <t>DAL-ED1</t>
  </si>
  <si>
    <t>DAL-ED2</t>
  </si>
  <si>
    <t>DAL-FL1</t>
  </si>
  <si>
    <t>DAL-FL2</t>
  </si>
  <si>
    <t>DAL-FL3</t>
  </si>
  <si>
    <t>DAL-FL4</t>
  </si>
  <si>
    <t>DAL-FM1</t>
  </si>
  <si>
    <t>DAL-FM2</t>
  </si>
  <si>
    <t>DAL-FM3</t>
  </si>
  <si>
    <t>Frank Rijkaard</t>
  </si>
  <si>
    <t>DAL-FR1</t>
  </si>
  <si>
    <t>DAL-FR2</t>
  </si>
  <si>
    <t>DAL-FR3</t>
  </si>
  <si>
    <t>DAL-FT1</t>
  </si>
  <si>
    <t>DAL-FT2</t>
  </si>
  <si>
    <t>DAL-FT3</t>
  </si>
  <si>
    <t>George Weah</t>
  </si>
  <si>
    <t>DAL-GW1</t>
  </si>
  <si>
    <t>DAL-GW2</t>
  </si>
  <si>
    <t>DAL-GW3</t>
  </si>
  <si>
    <t>Thierry Henry</t>
  </si>
  <si>
    <t>DAL-HE1</t>
  </si>
  <si>
    <t>DAL-HE2</t>
  </si>
  <si>
    <t>Henrik Larsson</t>
  </si>
  <si>
    <t>Feyenoord</t>
  </si>
  <si>
    <t>DAL-HL1</t>
  </si>
  <si>
    <t>DAL-HL2</t>
  </si>
  <si>
    <t>Karl-Heinz Rummenigge</t>
  </si>
  <si>
    <t>DAL-KR1</t>
  </si>
  <si>
    <t>DAL-KR2</t>
  </si>
  <si>
    <t>DAL-KR3</t>
  </si>
  <si>
    <t>DAL-KR4</t>
  </si>
  <si>
    <t>DAL-MO1</t>
  </si>
  <si>
    <t>DAL-MO2</t>
  </si>
  <si>
    <t>Marco van Basten</t>
  </si>
  <si>
    <t>DAL-MV1</t>
  </si>
  <si>
    <t>DAL-MV2</t>
  </si>
  <si>
    <t>DAL-MV3</t>
  </si>
  <si>
    <t>DAL-OK1</t>
  </si>
  <si>
    <t>DAL-OK2</t>
  </si>
  <si>
    <t>DAL-OK3</t>
  </si>
  <si>
    <t>DAL-OK4</t>
  </si>
  <si>
    <t>DAL-PS1</t>
  </si>
  <si>
    <t>DAL-PS2</t>
  </si>
  <si>
    <t>DAL-PS3</t>
  </si>
  <si>
    <t>DAL-PS4</t>
  </si>
  <si>
    <t>Roberto Baggio</t>
  </si>
  <si>
    <t>DAL-RB1</t>
  </si>
  <si>
    <t>DAL-RB2</t>
  </si>
  <si>
    <t>DAL-RC1</t>
  </si>
  <si>
    <t>DAL-RC2</t>
  </si>
  <si>
    <t>DAL-RC3</t>
  </si>
  <si>
    <t>DAL-RC4</t>
  </si>
  <si>
    <t>DAL-RI1</t>
  </si>
  <si>
    <t>DAL-RI2</t>
  </si>
  <si>
    <t>Sir Alex Ferguson</t>
  </si>
  <si>
    <t>DAL-SF1</t>
  </si>
  <si>
    <t>DAL-SF2</t>
  </si>
  <si>
    <t>Steven Gerrard</t>
  </si>
  <si>
    <t>DAL-SG1</t>
  </si>
  <si>
    <t>DAL-SG2</t>
  </si>
  <si>
    <t>DAL-SG3</t>
  </si>
  <si>
    <t>DAL-SG4</t>
  </si>
  <si>
    <t>Sepp Maier</t>
  </si>
  <si>
    <t>DAL-SM1</t>
  </si>
  <si>
    <t>DAL-SM2</t>
  </si>
  <si>
    <t>DAL-SM3</t>
  </si>
  <si>
    <t>DAL-SM4</t>
  </si>
  <si>
    <t>DAL-SN1</t>
  </si>
  <si>
    <t>DAL-SN2</t>
  </si>
  <si>
    <t>DAL-SN3</t>
  </si>
  <si>
    <t>DAL-SN4</t>
  </si>
  <si>
    <t>DAL-TH1</t>
  </si>
  <si>
    <t>DAL-TH2</t>
  </si>
  <si>
    <t>DAL-TH3</t>
  </si>
  <si>
    <t>DAL-ZI1</t>
  </si>
  <si>
    <t>DAL-ZI2</t>
  </si>
  <si>
    <t>DAL-ZI3</t>
  </si>
  <si>
    <t>DAL-ZZ1</t>
  </si>
  <si>
    <t>DAL-ZZ2</t>
  </si>
  <si>
    <t>Alphonso Davies</t>
  </si>
  <si>
    <t>DAV</t>
  </si>
  <si>
    <t>DAV-AD1</t>
  </si>
  <si>
    <t>DAV-AD2</t>
  </si>
  <si>
    <t>DAV-AD3</t>
  </si>
  <si>
    <t>DAV-AD4</t>
  </si>
  <si>
    <t>DAV-AG1</t>
  </si>
  <si>
    <t>DAV-AG2</t>
  </si>
  <si>
    <t>DAV-AG3</t>
  </si>
  <si>
    <t>DAV-AG4</t>
  </si>
  <si>
    <t>DAV-BF1</t>
  </si>
  <si>
    <t>DAV-BF2</t>
  </si>
  <si>
    <t>DAV-BF3</t>
  </si>
  <si>
    <t>DAV-BF4</t>
  </si>
  <si>
    <t>DAV-CO1</t>
  </si>
  <si>
    <t>DAV-CO2</t>
  </si>
  <si>
    <t>Declan Rice</t>
  </si>
  <si>
    <t>DAV-DR1</t>
  </si>
  <si>
    <t>DAV-DR2</t>
  </si>
  <si>
    <t>DAV-DR3</t>
  </si>
  <si>
    <t>DAV-DR4</t>
  </si>
  <si>
    <t>Dušan Vlahović</t>
  </si>
  <si>
    <t>DAV-DV1</t>
  </si>
  <si>
    <t>DAV-DV2</t>
  </si>
  <si>
    <t>DAV-DV3</t>
  </si>
  <si>
    <t>DAV-DV4</t>
  </si>
  <si>
    <t>Endrick</t>
  </si>
  <si>
    <t>DAV-E1</t>
  </si>
  <si>
    <t>DAV-E2</t>
  </si>
  <si>
    <t>DAV-E3</t>
  </si>
  <si>
    <t>DAV-E4</t>
  </si>
  <si>
    <t>DAV-EN1</t>
  </si>
  <si>
    <t>DAV-EN2</t>
  </si>
  <si>
    <t>DAV-EN3</t>
  </si>
  <si>
    <t>DAV-EN4</t>
  </si>
  <si>
    <t>DAV-GA1</t>
  </si>
  <si>
    <t>DAV-GA2</t>
  </si>
  <si>
    <t>DAV-GA3</t>
  </si>
  <si>
    <t>DAV-GA4</t>
  </si>
  <si>
    <t>DAV-GQ1</t>
  </si>
  <si>
    <t>DAV-GQ2</t>
  </si>
  <si>
    <t>DAV-KM1</t>
  </si>
  <si>
    <t>DAV-KM2</t>
  </si>
  <si>
    <t>DAV-KM3</t>
  </si>
  <si>
    <t>DAV-KM4</t>
  </si>
  <si>
    <t>DAV-ML1</t>
  </si>
  <si>
    <t>DAV-ML2</t>
  </si>
  <si>
    <t>DAV-ML3</t>
  </si>
  <si>
    <t>DAV-ML4</t>
  </si>
  <si>
    <t>Rodrygo</t>
  </si>
  <si>
    <t>DAV-R1</t>
  </si>
  <si>
    <t>DAV-R2</t>
  </si>
  <si>
    <t>DAV-R3</t>
  </si>
  <si>
    <t>DAV-R4</t>
  </si>
  <si>
    <t>Sam Kerr</t>
  </si>
  <si>
    <t>DAV-SK1</t>
  </si>
  <si>
    <t>DAV-SK2</t>
  </si>
  <si>
    <t>Theo Hernández</t>
  </si>
  <si>
    <t>DAV-TH1</t>
  </si>
  <si>
    <t>DAV-TH2</t>
  </si>
  <si>
    <t>DAV-TH3</t>
  </si>
  <si>
    <t>DAV-V1</t>
  </si>
  <si>
    <t>DAV-V2</t>
  </si>
  <si>
    <t>DAV-V3</t>
  </si>
  <si>
    <t>DAV-V4</t>
  </si>
  <si>
    <t>Sir Alex Ferguson / Paul Scholes</t>
  </si>
  <si>
    <t>Dynasty Dual Autographs</t>
  </si>
  <si>
    <t>DDAL</t>
  </si>
  <si>
    <t>DDAL-FS</t>
  </si>
  <si>
    <t>Frank Lampard / John Terry</t>
  </si>
  <si>
    <t>DDAL-LT</t>
  </si>
  <si>
    <t>Paolo Maldini / Andrea Pirlo</t>
  </si>
  <si>
    <t>DDAL-MP</t>
  </si>
  <si>
    <t>Raúl / Fernando Morientes</t>
  </si>
  <si>
    <t>DDAL-RM</t>
  </si>
  <si>
    <t>Jude Bellingham / Luka Modrić</t>
  </si>
  <si>
    <t>DDAV</t>
  </si>
  <si>
    <t>DDAV-BM</t>
  </si>
  <si>
    <t>DDAV-BV</t>
  </si>
  <si>
    <t>Phil Foden / Erling Haaland</t>
  </si>
  <si>
    <t>DDAV-FH</t>
  </si>
  <si>
    <t>Kobbie Mainoo / Jude Bellingham</t>
  </si>
  <si>
    <t>Manchester United/Real Madrid C.F.</t>
  </si>
  <si>
    <t>DDAV-MB</t>
  </si>
  <si>
    <t>Didier Drogba / Ronaldo / Zinédine Zidane</t>
  </si>
  <si>
    <t>Chelsea FC/FC Internazionale Milano/Real Madrid C.F.</t>
  </si>
  <si>
    <t>Intercontinental Triple Autographs</t>
  </si>
  <si>
    <t>ITA</t>
  </si>
  <si>
    <t>ITA-DRZ</t>
  </si>
  <si>
    <t>Kaká / Shunsuke Nakamura / Andrés Iniesta</t>
  </si>
  <si>
    <t>AC Milan/Celtic FC/FC Barcelona</t>
  </si>
  <si>
    <t>ITA-KNI</t>
  </si>
  <si>
    <t>Jumbo Club Crest Autographs</t>
  </si>
  <si>
    <t>CAL</t>
  </si>
  <si>
    <t>CAL-AD</t>
  </si>
  <si>
    <t>/1</t>
  </si>
  <si>
    <t>Gold 1/1</t>
  </si>
  <si>
    <t>CAL-AG</t>
  </si>
  <si>
    <t>CAL-AI</t>
  </si>
  <si>
    <t>CAL-BS</t>
  </si>
  <si>
    <t>CAL-C</t>
  </si>
  <si>
    <t>Eden Hazard</t>
  </si>
  <si>
    <t>CAL-EH</t>
  </si>
  <si>
    <t>Fabio Cannavaro</t>
  </si>
  <si>
    <t>CAL-FC</t>
  </si>
  <si>
    <t>CAL-GC</t>
  </si>
  <si>
    <t>Javier Zanetti</t>
  </si>
  <si>
    <t>CAL-JZ</t>
  </si>
  <si>
    <t>CAL-K</t>
  </si>
  <si>
    <t>CAL-LM</t>
  </si>
  <si>
    <t>CAL-PL</t>
  </si>
  <si>
    <t>CAL-PM</t>
  </si>
  <si>
    <t>CAL-R</t>
  </si>
  <si>
    <t>CAL-RC</t>
  </si>
  <si>
    <t>CAL-RI</t>
  </si>
  <si>
    <t>CAL-RK</t>
  </si>
  <si>
    <t>CAL-RL</t>
  </si>
  <si>
    <t>CAL-RV</t>
  </si>
  <si>
    <t>CAL-SA</t>
  </si>
  <si>
    <t>CAL-SE</t>
  </si>
  <si>
    <t>CAL-TO</t>
  </si>
  <si>
    <t>CAL-WR</t>
  </si>
  <si>
    <t>CAL-X</t>
  </si>
  <si>
    <t>CAL-ZI</t>
  </si>
  <si>
    <t>CAL-ZZ</t>
  </si>
  <si>
    <t>CAV</t>
  </si>
  <si>
    <t>CAV-AG</t>
  </si>
  <si>
    <t>Ada Hegerberg</t>
  </si>
  <si>
    <t>Olympique Lyonnais</t>
  </si>
  <si>
    <t>CAV-AH</t>
  </si>
  <si>
    <t>CAV-BF</t>
  </si>
  <si>
    <t>CAV-CP</t>
  </si>
  <si>
    <t>CAV-DM</t>
  </si>
  <si>
    <t>CAV-EC</t>
  </si>
  <si>
    <t>CAV-EH</t>
  </si>
  <si>
    <t>CAV-G</t>
  </si>
  <si>
    <t>CAV-GA</t>
  </si>
  <si>
    <t>CAV-HK</t>
  </si>
  <si>
    <t>CAV-JB</t>
  </si>
  <si>
    <t>CAV-JM</t>
  </si>
  <si>
    <t>CAV-KM</t>
  </si>
  <si>
    <t>CAV-LA</t>
  </si>
  <si>
    <t>CAV-LM</t>
  </si>
  <si>
    <t>CAV-PD</t>
  </si>
  <si>
    <t>CAV-PF</t>
  </si>
  <si>
    <t>CAV-VV</t>
  </si>
  <si>
    <t>Lamine Yamal</t>
  </si>
  <si>
    <t>Marks of Excellence</t>
  </si>
  <si>
    <t>EX</t>
  </si>
  <si>
    <t>EX-LY3</t>
  </si>
  <si>
    <t>/99</t>
  </si>
  <si>
    <t>/1, /5, /10, /25, /50, /99</t>
  </si>
  <si>
    <t>EX-LY7</t>
  </si>
  <si>
    <t>Type or pick Player and Team. Leave Team blank to calculate across all teams.</t>
  </si>
  <si>
    <t>Inputs</t>
  </si>
  <si>
    <t>Assumptions (only used when checklist does not state a base serial)</t>
  </si>
  <si>
    <t>Dynasty Autographs base serial</t>
  </si>
  <si>
    <t>Debut Day Inscriptions base serial</t>
  </si>
  <si>
    <t>Cards per box (hits)</t>
  </si>
  <si>
    <t>Boxes opened</t>
  </si>
  <si>
    <t>Boxes per case</t>
  </si>
  <si>
    <t>Outputs</t>
  </si>
  <si>
    <t>Matching checklist lines</t>
  </si>
  <si>
    <t># of distinct checklist rows that match your Player (+ Team if selected).</t>
  </si>
  <si>
    <t>Total cards of this Player/Team in the product (print-run)</t>
  </si>
  <si>
    <t>Estimated total number printed for the Player/Team across all variations and all matching checklist lines.</t>
  </si>
  <si>
    <t>Odds per hit (1 card pulled)</t>
  </si>
  <si>
    <t>Probability that a single hit is your Player/Team, based on print-run share of the product.</t>
  </si>
  <si>
    <t>Odds per box (at least one hit)</t>
  </si>
  <si>
    <t>Probability you hit the Player/Team at least once in a box, given Cards per box.</t>
  </si>
  <si>
    <t>Odds in your opened boxes (at least one hit)</t>
  </si>
  <si>
    <t>Probability you hit the Player/Team at least once across Boxes opened.</t>
  </si>
  <si>
    <t>Odds per case (at least one hit)</t>
  </si>
  <si>
    <t>Probability you hit the Player/Team at least once in one full case.</t>
  </si>
  <si>
    <t>Product total print-run (all cards)</t>
  </si>
  <si>
    <t>Estimated total number of cards printed in the entire product (used as denominator).</t>
  </si>
  <si>
    <t>Variation breakdown for selected Player/Team</t>
  </si>
  <si>
    <t>Variation</t>
  </si>
  <si>
    <t>Estimated print-run</t>
  </si>
  <si>
    <t>Odds per hit</t>
  </si>
  <si>
    <t>Odds per box</t>
  </si>
  <si>
    <t>Odds in opened boxes</t>
  </si>
  <si>
    <t>What this means</t>
  </si>
  <si>
    <t>Chance of pulling the /99 version of the selected Player/Team.</t>
  </si>
  <si>
    <t>/50</t>
  </si>
  <si>
    <t>Chance of pulling the /50 version of the selected Player/Team.</t>
  </si>
  <si>
    <t>/25</t>
  </si>
  <si>
    <t>Chance of pulling the /25 version of the selected Player/Team.</t>
  </si>
  <si>
    <t>Chance of pulling the /10 version of the selected Player/Team.</t>
  </si>
  <si>
    <t>/5</t>
  </si>
  <si>
    <t>Chance of pulling the /5 version of the selected Player/Team.</t>
  </si>
  <si>
    <t>1/1</t>
  </si>
  <si>
    <t>Chance of pulling the 1/1 version of the selected Player/Team.</t>
  </si>
  <si>
    <t>NEK_Vault Dynasty Break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</si>
</sst>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i/>
      <sz val="11"/>
      <color rgb="FF55555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0" fillId="3" borderId="1" xfId="0" applyFill="1" applyBorder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3" fillId="0" borderId="0" xfId="0" applyFont="1"/>
    <xf numFmtId="0" fontId="0" fillId="0" borderId="0" xfId="0"/>
    <xf numFmtId="0" fontId="6" fillId="0" borderId="0" xfId="0" applyFont="1" applyAlignment="1">
      <alignment wrapText="1"/>
    </xf>
    <xf numFmtId="0" fontId="5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7"/>
  <sheetViews>
    <sheetView workbookViewId="0">
      <pane ySplit="1" topLeftCell="A2" activePane="bottomLeft" state="frozen"/>
      <selection pane="bottomLeft" activeCell="M523" sqref="M523"/>
    </sheetView>
  </sheetViews>
  <sheetFormatPr defaultRowHeight="14.5" x14ac:dyDescent="0.35"/>
  <cols>
    <col min="1" max="1" width="26" customWidth="1"/>
    <col min="2" max="2" width="24" customWidth="1"/>
    <col min="3" max="3" width="28" customWidth="1"/>
    <col min="4" max="4" width="12" customWidth="1"/>
    <col min="5" max="5" width="14" customWidth="1"/>
    <col min="6" max="6" width="18" customWidth="1"/>
    <col min="7" max="7" width="28" customWidth="1"/>
    <col min="8" max="8" width="18" customWidth="1"/>
    <col min="9" max="14" width="10" customWidth="1"/>
    <col min="15" max="15" width="20" customWidth="1"/>
  </cols>
  <sheetData>
    <row r="1" spans="1:1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f>IF(C2="Dynasty Autographs",Calculator!$E$4,IF(C2="Debut Day Inscriptions",Calculator!$E$5,IFERROR(VALUE(SUBSTITUTE(F2,"/","")),0)))</f>
        <v>10</v>
      </c>
      <c r="I2" s="2">
        <f t="shared" ref="I2:I65" si="0">IF(H2=99,99,IF(ISNUMBER(SEARCH("/99",G2)),99,0))</f>
        <v>0</v>
      </c>
      <c r="J2" s="2">
        <f t="shared" ref="J2:J65" si="1">IF(H2=50,50,IF(ISNUMBER(SEARCH("/50",G2)),50,0))</f>
        <v>0</v>
      </c>
      <c r="K2" s="2">
        <f t="shared" ref="K2:K65" si="2">IF(H2=25,25,IF(ISNUMBER(SEARCH("/25",G2)),25,0))</f>
        <v>0</v>
      </c>
      <c r="L2" s="2">
        <f t="shared" ref="L2:L65" si="3">IF(H2=10,10,IF(ISNUMBER(SEARCH("/10",G2)),10,0))</f>
        <v>10</v>
      </c>
      <c r="M2" s="2">
        <f t="shared" ref="M2:M65" si="4">IF(H2=5,5,IF(ISNUMBER(SEARCH("/5",G2)),5,0))</f>
        <v>5</v>
      </c>
      <c r="N2" s="2">
        <f t="shared" ref="N2:N65" si="5">IF(H2=1,1,IF(ISNUMBER(SEARCH("1/1",G2)),1,0))</f>
        <v>1</v>
      </c>
      <c r="O2" s="2">
        <f t="shared" ref="O2:O65" si="6">SUM(I2:N2)</f>
        <v>16</v>
      </c>
    </row>
    <row r="3" spans="1:15" x14ac:dyDescent="0.35">
      <c r="A3" s="2" t="s">
        <v>22</v>
      </c>
      <c r="B3" s="2" t="s">
        <v>23</v>
      </c>
      <c r="C3" s="2" t="s">
        <v>17</v>
      </c>
      <c r="D3" s="2" t="s">
        <v>18</v>
      </c>
      <c r="E3" s="2" t="s">
        <v>24</v>
      </c>
      <c r="F3" s="2" t="s">
        <v>20</v>
      </c>
      <c r="G3" s="2" t="s">
        <v>21</v>
      </c>
      <c r="H3" s="2">
        <f>IF(C3="Dynasty Autographs",Calculator!$E$4,IF(C3="Debut Day Inscriptions",Calculator!$E$5,IFERROR(VALUE(SUBSTITUTE(F3,"/","")),0)))</f>
        <v>10</v>
      </c>
      <c r="I3" s="2">
        <f t="shared" si="0"/>
        <v>0</v>
      </c>
      <c r="J3" s="2">
        <f t="shared" si="1"/>
        <v>0</v>
      </c>
      <c r="K3" s="2">
        <f t="shared" si="2"/>
        <v>0</v>
      </c>
      <c r="L3" s="2">
        <f t="shared" si="3"/>
        <v>10</v>
      </c>
      <c r="M3" s="2">
        <f t="shared" si="4"/>
        <v>5</v>
      </c>
      <c r="N3" s="2">
        <f t="shared" si="5"/>
        <v>1</v>
      </c>
      <c r="O3" s="2">
        <f t="shared" si="6"/>
        <v>16</v>
      </c>
    </row>
    <row r="4" spans="1:15" x14ac:dyDescent="0.35">
      <c r="A4" s="2" t="s">
        <v>25</v>
      </c>
      <c r="B4" s="2" t="s">
        <v>26</v>
      </c>
      <c r="C4" s="2" t="s">
        <v>17</v>
      </c>
      <c r="D4" s="2" t="s">
        <v>18</v>
      </c>
      <c r="E4" s="2" t="s">
        <v>27</v>
      </c>
      <c r="F4" s="2" t="s">
        <v>20</v>
      </c>
      <c r="G4" s="2" t="s">
        <v>21</v>
      </c>
      <c r="H4" s="2">
        <f>IF(C4="Dynasty Autographs",Calculator!$E$4,IF(C4="Debut Day Inscriptions",Calculator!$E$5,IFERROR(VALUE(SUBSTITUTE(F4,"/","")),0)))</f>
        <v>10</v>
      </c>
      <c r="I4" s="2">
        <f t="shared" si="0"/>
        <v>0</v>
      </c>
      <c r="J4" s="2">
        <f t="shared" si="1"/>
        <v>0</v>
      </c>
      <c r="K4" s="2">
        <f t="shared" si="2"/>
        <v>0</v>
      </c>
      <c r="L4" s="2">
        <f t="shared" si="3"/>
        <v>10</v>
      </c>
      <c r="M4" s="2">
        <f t="shared" si="4"/>
        <v>5</v>
      </c>
      <c r="N4" s="2">
        <f t="shared" si="5"/>
        <v>1</v>
      </c>
      <c r="O4" s="2">
        <f t="shared" si="6"/>
        <v>16</v>
      </c>
    </row>
    <row r="5" spans="1:15" x14ac:dyDescent="0.35">
      <c r="A5" s="2" t="s">
        <v>28</v>
      </c>
      <c r="B5" s="2" t="s">
        <v>23</v>
      </c>
      <c r="C5" s="2" t="s">
        <v>17</v>
      </c>
      <c r="D5" s="2" t="s">
        <v>18</v>
      </c>
      <c r="E5" s="2" t="s">
        <v>29</v>
      </c>
      <c r="F5" s="2" t="s">
        <v>20</v>
      </c>
      <c r="G5" s="2" t="s">
        <v>21</v>
      </c>
      <c r="H5" s="2">
        <f>IF(C5="Dynasty Autographs",Calculator!$E$4,IF(C5="Debut Day Inscriptions",Calculator!$E$5,IFERROR(VALUE(SUBSTITUTE(F5,"/","")),0)))</f>
        <v>10</v>
      </c>
      <c r="I5" s="2">
        <f t="shared" si="0"/>
        <v>0</v>
      </c>
      <c r="J5" s="2">
        <f t="shared" si="1"/>
        <v>0</v>
      </c>
      <c r="K5" s="2">
        <f t="shared" si="2"/>
        <v>0</v>
      </c>
      <c r="L5" s="2">
        <f t="shared" si="3"/>
        <v>10</v>
      </c>
      <c r="M5" s="2">
        <f t="shared" si="4"/>
        <v>5</v>
      </c>
      <c r="N5" s="2">
        <f t="shared" si="5"/>
        <v>1</v>
      </c>
      <c r="O5" s="2">
        <f t="shared" si="6"/>
        <v>16</v>
      </c>
    </row>
    <row r="6" spans="1:15" x14ac:dyDescent="0.35">
      <c r="A6" s="2" t="s">
        <v>30</v>
      </c>
      <c r="B6" s="2" t="s">
        <v>16</v>
      </c>
      <c r="C6" s="2" t="s">
        <v>17</v>
      </c>
      <c r="D6" s="2" t="s">
        <v>18</v>
      </c>
      <c r="E6" s="2" t="s">
        <v>31</v>
      </c>
      <c r="F6" s="2" t="s">
        <v>20</v>
      </c>
      <c r="G6" s="2" t="s">
        <v>21</v>
      </c>
      <c r="H6" s="2">
        <f>IF(C6="Dynasty Autographs",Calculator!$E$4,IF(C6="Debut Day Inscriptions",Calculator!$E$5,IFERROR(VALUE(SUBSTITUTE(F6,"/","")),0)))</f>
        <v>10</v>
      </c>
      <c r="I6" s="2">
        <f t="shared" si="0"/>
        <v>0</v>
      </c>
      <c r="J6" s="2">
        <f t="shared" si="1"/>
        <v>0</v>
      </c>
      <c r="K6" s="2">
        <f t="shared" si="2"/>
        <v>0</v>
      </c>
      <c r="L6" s="2">
        <f t="shared" si="3"/>
        <v>10</v>
      </c>
      <c r="M6" s="2">
        <f t="shared" si="4"/>
        <v>5</v>
      </c>
      <c r="N6" s="2">
        <f t="shared" si="5"/>
        <v>1</v>
      </c>
      <c r="O6" s="2">
        <f t="shared" si="6"/>
        <v>16</v>
      </c>
    </row>
    <row r="7" spans="1:15" x14ac:dyDescent="0.35">
      <c r="A7" s="2" t="s">
        <v>32</v>
      </c>
      <c r="B7" s="2" t="s">
        <v>33</v>
      </c>
      <c r="C7" s="2" t="s">
        <v>17</v>
      </c>
      <c r="D7" s="2" t="s">
        <v>18</v>
      </c>
      <c r="E7" s="2" t="s">
        <v>34</v>
      </c>
      <c r="F7" s="2" t="s">
        <v>20</v>
      </c>
      <c r="G7" s="2" t="s">
        <v>21</v>
      </c>
      <c r="H7" s="2">
        <f>IF(C7="Dynasty Autographs",Calculator!$E$4,IF(C7="Debut Day Inscriptions",Calculator!$E$5,IFERROR(VALUE(SUBSTITUTE(F7,"/","")),0)))</f>
        <v>10</v>
      </c>
      <c r="I7" s="2">
        <f t="shared" si="0"/>
        <v>0</v>
      </c>
      <c r="J7" s="2">
        <f t="shared" si="1"/>
        <v>0</v>
      </c>
      <c r="K7" s="2">
        <f t="shared" si="2"/>
        <v>0</v>
      </c>
      <c r="L7" s="2">
        <f t="shared" si="3"/>
        <v>10</v>
      </c>
      <c r="M7" s="2">
        <f t="shared" si="4"/>
        <v>5</v>
      </c>
      <c r="N7" s="2">
        <f t="shared" si="5"/>
        <v>1</v>
      </c>
      <c r="O7" s="2">
        <f t="shared" si="6"/>
        <v>16</v>
      </c>
    </row>
    <row r="8" spans="1:15" x14ac:dyDescent="0.35">
      <c r="A8" s="2" t="s">
        <v>35</v>
      </c>
      <c r="B8" s="2" t="s">
        <v>36</v>
      </c>
      <c r="C8" s="2" t="s">
        <v>17</v>
      </c>
      <c r="D8" s="2" t="s">
        <v>18</v>
      </c>
      <c r="E8" s="2" t="s">
        <v>37</v>
      </c>
      <c r="F8" s="2" t="s">
        <v>20</v>
      </c>
      <c r="G8" s="2" t="s">
        <v>21</v>
      </c>
      <c r="H8" s="2">
        <f>IF(C8="Dynasty Autographs",Calculator!$E$4,IF(C8="Debut Day Inscriptions",Calculator!$E$5,IFERROR(VALUE(SUBSTITUTE(F8,"/","")),0)))</f>
        <v>10</v>
      </c>
      <c r="I8" s="2">
        <f t="shared" si="0"/>
        <v>0</v>
      </c>
      <c r="J8" s="2">
        <f t="shared" si="1"/>
        <v>0</v>
      </c>
      <c r="K8" s="2">
        <f t="shared" si="2"/>
        <v>0</v>
      </c>
      <c r="L8" s="2">
        <f t="shared" si="3"/>
        <v>10</v>
      </c>
      <c r="M8" s="2">
        <f t="shared" si="4"/>
        <v>5</v>
      </c>
      <c r="N8" s="2">
        <f t="shared" si="5"/>
        <v>1</v>
      </c>
      <c r="O8" s="2">
        <f t="shared" si="6"/>
        <v>16</v>
      </c>
    </row>
    <row r="9" spans="1:15" x14ac:dyDescent="0.35">
      <c r="A9" s="2" t="s">
        <v>38</v>
      </c>
      <c r="B9" s="2" t="s">
        <v>39</v>
      </c>
      <c r="C9" s="2" t="s">
        <v>17</v>
      </c>
      <c r="D9" s="2" t="s">
        <v>18</v>
      </c>
      <c r="E9" s="2" t="s">
        <v>40</v>
      </c>
      <c r="F9" s="2" t="s">
        <v>20</v>
      </c>
      <c r="G9" s="2" t="s">
        <v>21</v>
      </c>
      <c r="H9" s="2">
        <f>IF(C9="Dynasty Autographs",Calculator!$E$4,IF(C9="Debut Day Inscriptions",Calculator!$E$5,IFERROR(VALUE(SUBSTITUTE(F9,"/","")),0)))</f>
        <v>10</v>
      </c>
      <c r="I9" s="2">
        <f t="shared" si="0"/>
        <v>0</v>
      </c>
      <c r="J9" s="2">
        <f t="shared" si="1"/>
        <v>0</v>
      </c>
      <c r="K9" s="2">
        <f t="shared" si="2"/>
        <v>0</v>
      </c>
      <c r="L9" s="2">
        <f t="shared" si="3"/>
        <v>10</v>
      </c>
      <c r="M9" s="2">
        <f t="shared" si="4"/>
        <v>5</v>
      </c>
      <c r="N9" s="2">
        <f t="shared" si="5"/>
        <v>1</v>
      </c>
      <c r="O9" s="2">
        <f t="shared" si="6"/>
        <v>16</v>
      </c>
    </row>
    <row r="10" spans="1:15" x14ac:dyDescent="0.35">
      <c r="A10" s="2" t="s">
        <v>41</v>
      </c>
      <c r="B10" s="2" t="s">
        <v>42</v>
      </c>
      <c r="C10" s="2" t="s">
        <v>17</v>
      </c>
      <c r="D10" s="2" t="s">
        <v>18</v>
      </c>
      <c r="E10" s="2" t="s">
        <v>43</v>
      </c>
      <c r="F10" s="2" t="s">
        <v>20</v>
      </c>
      <c r="G10" s="2" t="s">
        <v>21</v>
      </c>
      <c r="H10" s="2">
        <f>IF(C10="Dynasty Autographs",Calculator!$E$4,IF(C10="Debut Day Inscriptions",Calculator!$E$5,IFERROR(VALUE(SUBSTITUTE(F10,"/","")),0)))</f>
        <v>10</v>
      </c>
      <c r="I10" s="2">
        <f t="shared" si="0"/>
        <v>0</v>
      </c>
      <c r="J10" s="2">
        <f t="shared" si="1"/>
        <v>0</v>
      </c>
      <c r="K10" s="2">
        <f t="shared" si="2"/>
        <v>0</v>
      </c>
      <c r="L10" s="2">
        <f t="shared" si="3"/>
        <v>10</v>
      </c>
      <c r="M10" s="2">
        <f t="shared" si="4"/>
        <v>5</v>
      </c>
      <c r="N10" s="2">
        <f t="shared" si="5"/>
        <v>1</v>
      </c>
      <c r="O10" s="2">
        <f t="shared" si="6"/>
        <v>16</v>
      </c>
    </row>
    <row r="11" spans="1:15" x14ac:dyDescent="0.35">
      <c r="A11" s="2" t="s">
        <v>44</v>
      </c>
      <c r="B11" s="2" t="s">
        <v>23</v>
      </c>
      <c r="C11" s="2" t="s">
        <v>17</v>
      </c>
      <c r="D11" s="2" t="s">
        <v>18</v>
      </c>
      <c r="E11" s="2" t="s">
        <v>45</v>
      </c>
      <c r="F11" s="2" t="s">
        <v>20</v>
      </c>
      <c r="G11" s="2" t="s">
        <v>21</v>
      </c>
      <c r="H11" s="2">
        <f>IF(C11="Dynasty Autographs",Calculator!$E$4,IF(C11="Debut Day Inscriptions",Calculator!$E$5,IFERROR(VALUE(SUBSTITUTE(F11,"/","")),0)))</f>
        <v>10</v>
      </c>
      <c r="I11" s="2">
        <f t="shared" si="0"/>
        <v>0</v>
      </c>
      <c r="J11" s="2">
        <f t="shared" si="1"/>
        <v>0</v>
      </c>
      <c r="K11" s="2">
        <f t="shared" si="2"/>
        <v>0</v>
      </c>
      <c r="L11" s="2">
        <f t="shared" si="3"/>
        <v>10</v>
      </c>
      <c r="M11" s="2">
        <f t="shared" si="4"/>
        <v>5</v>
      </c>
      <c r="N11" s="2">
        <f t="shared" si="5"/>
        <v>1</v>
      </c>
      <c r="O11" s="2">
        <f t="shared" si="6"/>
        <v>16</v>
      </c>
    </row>
    <row r="12" spans="1:15" x14ac:dyDescent="0.35">
      <c r="A12" s="2" t="s">
        <v>46</v>
      </c>
      <c r="B12" s="2" t="s">
        <v>47</v>
      </c>
      <c r="C12" s="2" t="s">
        <v>17</v>
      </c>
      <c r="D12" s="2" t="s">
        <v>18</v>
      </c>
      <c r="E12" s="2" t="s">
        <v>48</v>
      </c>
      <c r="F12" s="2" t="s">
        <v>20</v>
      </c>
      <c r="G12" s="2" t="s">
        <v>21</v>
      </c>
      <c r="H12" s="2">
        <f>IF(C12="Dynasty Autographs",Calculator!$E$4,IF(C12="Debut Day Inscriptions",Calculator!$E$5,IFERROR(VALUE(SUBSTITUTE(F12,"/","")),0)))</f>
        <v>10</v>
      </c>
      <c r="I12" s="2">
        <f t="shared" si="0"/>
        <v>0</v>
      </c>
      <c r="J12" s="2">
        <f t="shared" si="1"/>
        <v>0</v>
      </c>
      <c r="K12" s="2">
        <f t="shared" si="2"/>
        <v>0</v>
      </c>
      <c r="L12" s="2">
        <f t="shared" si="3"/>
        <v>10</v>
      </c>
      <c r="M12" s="2">
        <f t="shared" si="4"/>
        <v>5</v>
      </c>
      <c r="N12" s="2">
        <f t="shared" si="5"/>
        <v>1</v>
      </c>
      <c r="O12" s="2">
        <f t="shared" si="6"/>
        <v>16</v>
      </c>
    </row>
    <row r="13" spans="1:15" x14ac:dyDescent="0.35">
      <c r="A13" s="2" t="s">
        <v>49</v>
      </c>
      <c r="B13" s="2" t="s">
        <v>47</v>
      </c>
      <c r="C13" s="2" t="s">
        <v>17</v>
      </c>
      <c r="D13" s="2" t="s">
        <v>18</v>
      </c>
      <c r="E13" s="2" t="s">
        <v>50</v>
      </c>
      <c r="F13" s="2" t="s">
        <v>20</v>
      </c>
      <c r="G13" s="2" t="s">
        <v>21</v>
      </c>
      <c r="H13" s="2">
        <f>IF(C13="Dynasty Autographs",Calculator!$E$4,IF(C13="Debut Day Inscriptions",Calculator!$E$5,IFERROR(VALUE(SUBSTITUTE(F13,"/","")),0)))</f>
        <v>10</v>
      </c>
      <c r="I13" s="2">
        <f t="shared" si="0"/>
        <v>0</v>
      </c>
      <c r="J13" s="2">
        <f t="shared" si="1"/>
        <v>0</v>
      </c>
      <c r="K13" s="2">
        <f t="shared" si="2"/>
        <v>0</v>
      </c>
      <c r="L13" s="2">
        <f t="shared" si="3"/>
        <v>10</v>
      </c>
      <c r="M13" s="2">
        <f t="shared" si="4"/>
        <v>5</v>
      </c>
      <c r="N13" s="2">
        <f t="shared" si="5"/>
        <v>1</v>
      </c>
      <c r="O13" s="2">
        <f t="shared" si="6"/>
        <v>16</v>
      </c>
    </row>
    <row r="14" spans="1:15" x14ac:dyDescent="0.35">
      <c r="A14" s="2" t="s">
        <v>51</v>
      </c>
      <c r="B14" s="2" t="s">
        <v>52</v>
      </c>
      <c r="C14" s="2" t="s">
        <v>17</v>
      </c>
      <c r="D14" s="2" t="s">
        <v>18</v>
      </c>
      <c r="E14" s="2" t="s">
        <v>53</v>
      </c>
      <c r="F14" s="2" t="s">
        <v>20</v>
      </c>
      <c r="G14" s="2" t="s">
        <v>21</v>
      </c>
      <c r="H14" s="2">
        <f>IF(C14="Dynasty Autographs",Calculator!$E$4,IF(C14="Debut Day Inscriptions",Calculator!$E$5,IFERROR(VALUE(SUBSTITUTE(F14,"/","")),0)))</f>
        <v>10</v>
      </c>
      <c r="I14" s="2">
        <f t="shared" si="0"/>
        <v>0</v>
      </c>
      <c r="J14" s="2">
        <f t="shared" si="1"/>
        <v>0</v>
      </c>
      <c r="K14" s="2">
        <f t="shared" si="2"/>
        <v>0</v>
      </c>
      <c r="L14" s="2">
        <f t="shared" si="3"/>
        <v>10</v>
      </c>
      <c r="M14" s="2">
        <f t="shared" si="4"/>
        <v>5</v>
      </c>
      <c r="N14" s="2">
        <f t="shared" si="5"/>
        <v>1</v>
      </c>
      <c r="O14" s="2">
        <f t="shared" si="6"/>
        <v>16</v>
      </c>
    </row>
    <row r="15" spans="1:15" x14ac:dyDescent="0.35">
      <c r="A15" s="2" t="s">
        <v>54</v>
      </c>
      <c r="B15" s="2" t="s">
        <v>26</v>
      </c>
      <c r="C15" s="2" t="s">
        <v>17</v>
      </c>
      <c r="D15" s="2" t="s">
        <v>18</v>
      </c>
      <c r="E15" s="2" t="s">
        <v>55</v>
      </c>
      <c r="F15" s="2" t="s">
        <v>20</v>
      </c>
      <c r="G15" s="2" t="s">
        <v>21</v>
      </c>
      <c r="H15" s="2">
        <f>IF(C15="Dynasty Autographs",Calculator!$E$4,IF(C15="Debut Day Inscriptions",Calculator!$E$5,IFERROR(VALUE(SUBSTITUTE(F15,"/","")),0)))</f>
        <v>10</v>
      </c>
      <c r="I15" s="2">
        <f t="shared" si="0"/>
        <v>0</v>
      </c>
      <c r="J15" s="2">
        <f t="shared" si="1"/>
        <v>0</v>
      </c>
      <c r="K15" s="2">
        <f t="shared" si="2"/>
        <v>0</v>
      </c>
      <c r="L15" s="2">
        <f t="shared" si="3"/>
        <v>10</v>
      </c>
      <c r="M15" s="2">
        <f t="shared" si="4"/>
        <v>5</v>
      </c>
      <c r="N15" s="2">
        <f t="shared" si="5"/>
        <v>1</v>
      </c>
      <c r="O15" s="2">
        <f t="shared" si="6"/>
        <v>16</v>
      </c>
    </row>
    <row r="16" spans="1:15" x14ac:dyDescent="0.35">
      <c r="A16" s="2" t="s">
        <v>56</v>
      </c>
      <c r="B16" s="2" t="s">
        <v>23</v>
      </c>
      <c r="C16" s="2" t="s">
        <v>17</v>
      </c>
      <c r="D16" s="2" t="s">
        <v>18</v>
      </c>
      <c r="E16" s="2" t="s">
        <v>57</v>
      </c>
      <c r="F16" s="2" t="s">
        <v>20</v>
      </c>
      <c r="G16" s="2" t="s">
        <v>21</v>
      </c>
      <c r="H16" s="2">
        <f>IF(C16="Dynasty Autographs",Calculator!$E$4,IF(C16="Debut Day Inscriptions",Calculator!$E$5,IFERROR(VALUE(SUBSTITUTE(F16,"/","")),0)))</f>
        <v>10</v>
      </c>
      <c r="I16" s="2">
        <f t="shared" si="0"/>
        <v>0</v>
      </c>
      <c r="J16" s="2">
        <f t="shared" si="1"/>
        <v>0</v>
      </c>
      <c r="K16" s="2">
        <f t="shared" si="2"/>
        <v>0</v>
      </c>
      <c r="L16" s="2">
        <f t="shared" si="3"/>
        <v>10</v>
      </c>
      <c r="M16" s="2">
        <f t="shared" si="4"/>
        <v>5</v>
      </c>
      <c r="N16" s="2">
        <f t="shared" si="5"/>
        <v>1</v>
      </c>
      <c r="O16" s="2">
        <f t="shared" si="6"/>
        <v>16</v>
      </c>
    </row>
    <row r="17" spans="1:15" x14ac:dyDescent="0.35">
      <c r="A17" s="2" t="s">
        <v>58</v>
      </c>
      <c r="B17" s="2" t="s">
        <v>52</v>
      </c>
      <c r="C17" s="2" t="s">
        <v>17</v>
      </c>
      <c r="D17" s="2" t="s">
        <v>18</v>
      </c>
      <c r="E17" s="2" t="s">
        <v>59</v>
      </c>
      <c r="F17" s="2" t="s">
        <v>20</v>
      </c>
      <c r="G17" s="2" t="s">
        <v>21</v>
      </c>
      <c r="H17" s="2">
        <f>IF(C17="Dynasty Autographs",Calculator!$E$4,IF(C17="Debut Day Inscriptions",Calculator!$E$5,IFERROR(VALUE(SUBSTITUTE(F17,"/","")),0)))</f>
        <v>10</v>
      </c>
      <c r="I17" s="2">
        <f t="shared" si="0"/>
        <v>0</v>
      </c>
      <c r="J17" s="2">
        <f t="shared" si="1"/>
        <v>0</v>
      </c>
      <c r="K17" s="2">
        <f t="shared" si="2"/>
        <v>0</v>
      </c>
      <c r="L17" s="2">
        <f t="shared" si="3"/>
        <v>10</v>
      </c>
      <c r="M17" s="2">
        <f t="shared" si="4"/>
        <v>5</v>
      </c>
      <c r="N17" s="2">
        <f t="shared" si="5"/>
        <v>1</v>
      </c>
      <c r="O17" s="2">
        <f t="shared" si="6"/>
        <v>16</v>
      </c>
    </row>
    <row r="18" spans="1:15" x14ac:dyDescent="0.35">
      <c r="A18" s="2" t="s">
        <v>60</v>
      </c>
      <c r="B18" s="2" t="s">
        <v>26</v>
      </c>
      <c r="C18" s="2" t="s">
        <v>17</v>
      </c>
      <c r="D18" s="2" t="s">
        <v>18</v>
      </c>
      <c r="E18" s="2" t="s">
        <v>61</v>
      </c>
      <c r="F18" s="2" t="s">
        <v>20</v>
      </c>
      <c r="G18" s="2" t="s">
        <v>21</v>
      </c>
      <c r="H18" s="2">
        <f>IF(C18="Dynasty Autographs",Calculator!$E$4,IF(C18="Debut Day Inscriptions",Calculator!$E$5,IFERROR(VALUE(SUBSTITUTE(F18,"/","")),0)))</f>
        <v>10</v>
      </c>
      <c r="I18" s="2">
        <f t="shared" si="0"/>
        <v>0</v>
      </c>
      <c r="J18" s="2">
        <f t="shared" si="1"/>
        <v>0</v>
      </c>
      <c r="K18" s="2">
        <f t="shared" si="2"/>
        <v>0</v>
      </c>
      <c r="L18" s="2">
        <f t="shared" si="3"/>
        <v>10</v>
      </c>
      <c r="M18" s="2">
        <f t="shared" si="4"/>
        <v>5</v>
      </c>
      <c r="N18" s="2">
        <f t="shared" si="5"/>
        <v>1</v>
      </c>
      <c r="O18" s="2">
        <f t="shared" si="6"/>
        <v>16</v>
      </c>
    </row>
    <row r="19" spans="1:15" x14ac:dyDescent="0.35">
      <c r="A19" s="2" t="s">
        <v>62</v>
      </c>
      <c r="B19" s="2" t="s">
        <v>63</v>
      </c>
      <c r="C19" s="2" t="s">
        <v>17</v>
      </c>
      <c r="D19" s="2" t="s">
        <v>18</v>
      </c>
      <c r="E19" s="2" t="s">
        <v>64</v>
      </c>
      <c r="F19" s="2" t="s">
        <v>20</v>
      </c>
      <c r="G19" s="2" t="s">
        <v>21</v>
      </c>
      <c r="H19" s="2">
        <f>IF(C19="Dynasty Autographs",Calculator!$E$4,IF(C19="Debut Day Inscriptions",Calculator!$E$5,IFERROR(VALUE(SUBSTITUTE(F19,"/","")),0)))</f>
        <v>10</v>
      </c>
      <c r="I19" s="2">
        <f t="shared" si="0"/>
        <v>0</v>
      </c>
      <c r="J19" s="2">
        <f t="shared" si="1"/>
        <v>0</v>
      </c>
      <c r="K19" s="2">
        <f t="shared" si="2"/>
        <v>0</v>
      </c>
      <c r="L19" s="2">
        <f t="shared" si="3"/>
        <v>10</v>
      </c>
      <c r="M19" s="2">
        <f t="shared" si="4"/>
        <v>5</v>
      </c>
      <c r="N19" s="2">
        <f t="shared" si="5"/>
        <v>1</v>
      </c>
      <c r="O19" s="2">
        <f t="shared" si="6"/>
        <v>16</v>
      </c>
    </row>
    <row r="20" spans="1:15" x14ac:dyDescent="0.35">
      <c r="A20" s="2" t="s">
        <v>65</v>
      </c>
      <c r="B20" s="2" t="s">
        <v>23</v>
      </c>
      <c r="C20" s="2" t="s">
        <v>17</v>
      </c>
      <c r="D20" s="2" t="s">
        <v>18</v>
      </c>
      <c r="E20" s="2" t="s">
        <v>66</v>
      </c>
      <c r="F20" s="2" t="s">
        <v>20</v>
      </c>
      <c r="G20" s="2" t="s">
        <v>21</v>
      </c>
      <c r="H20" s="2">
        <f>IF(C20="Dynasty Autographs",Calculator!$E$4,IF(C20="Debut Day Inscriptions",Calculator!$E$5,IFERROR(VALUE(SUBSTITUTE(F20,"/","")),0)))</f>
        <v>10</v>
      </c>
      <c r="I20" s="2">
        <f t="shared" si="0"/>
        <v>0</v>
      </c>
      <c r="J20" s="2">
        <f t="shared" si="1"/>
        <v>0</v>
      </c>
      <c r="K20" s="2">
        <f t="shared" si="2"/>
        <v>0</v>
      </c>
      <c r="L20" s="2">
        <f t="shared" si="3"/>
        <v>10</v>
      </c>
      <c r="M20" s="2">
        <f t="shared" si="4"/>
        <v>5</v>
      </c>
      <c r="N20" s="2">
        <f t="shared" si="5"/>
        <v>1</v>
      </c>
      <c r="O20" s="2">
        <f t="shared" si="6"/>
        <v>16</v>
      </c>
    </row>
    <row r="21" spans="1:15" x14ac:dyDescent="0.35">
      <c r="A21" s="2" t="s">
        <v>67</v>
      </c>
      <c r="B21" s="2" t="s">
        <v>36</v>
      </c>
      <c r="C21" s="2" t="s">
        <v>17</v>
      </c>
      <c r="D21" s="2" t="s">
        <v>68</v>
      </c>
      <c r="E21" s="2" t="s">
        <v>69</v>
      </c>
      <c r="F21" s="2" t="s">
        <v>20</v>
      </c>
      <c r="G21" s="2" t="s">
        <v>21</v>
      </c>
      <c r="H21" s="2">
        <f>IF(C21="Dynasty Autographs",Calculator!$E$4,IF(C21="Debut Day Inscriptions",Calculator!$E$5,IFERROR(VALUE(SUBSTITUTE(F21,"/","")),0)))</f>
        <v>10</v>
      </c>
      <c r="I21" s="2">
        <f t="shared" si="0"/>
        <v>0</v>
      </c>
      <c r="J21" s="2">
        <f t="shared" si="1"/>
        <v>0</v>
      </c>
      <c r="K21" s="2">
        <f t="shared" si="2"/>
        <v>0</v>
      </c>
      <c r="L21" s="2">
        <f t="shared" si="3"/>
        <v>10</v>
      </c>
      <c r="M21" s="2">
        <f t="shared" si="4"/>
        <v>5</v>
      </c>
      <c r="N21" s="2">
        <f t="shared" si="5"/>
        <v>1</v>
      </c>
      <c r="O21" s="2">
        <f t="shared" si="6"/>
        <v>16</v>
      </c>
    </row>
    <row r="22" spans="1:15" x14ac:dyDescent="0.35">
      <c r="A22" s="2" t="s">
        <v>70</v>
      </c>
      <c r="B22" s="2" t="s">
        <v>71</v>
      </c>
      <c r="C22" s="2" t="s">
        <v>17</v>
      </c>
      <c r="D22" s="2" t="s">
        <v>68</v>
      </c>
      <c r="E22" s="2" t="s">
        <v>72</v>
      </c>
      <c r="F22" s="2" t="s">
        <v>20</v>
      </c>
      <c r="G22" s="2" t="s">
        <v>21</v>
      </c>
      <c r="H22" s="2">
        <f>IF(C22="Dynasty Autographs",Calculator!$E$4,IF(C22="Debut Day Inscriptions",Calculator!$E$5,IFERROR(VALUE(SUBSTITUTE(F22,"/","")),0)))</f>
        <v>10</v>
      </c>
      <c r="I22" s="2">
        <f t="shared" si="0"/>
        <v>0</v>
      </c>
      <c r="J22" s="2">
        <f t="shared" si="1"/>
        <v>0</v>
      </c>
      <c r="K22" s="2">
        <f t="shared" si="2"/>
        <v>0</v>
      </c>
      <c r="L22" s="2">
        <f t="shared" si="3"/>
        <v>10</v>
      </c>
      <c r="M22" s="2">
        <f t="shared" si="4"/>
        <v>5</v>
      </c>
      <c r="N22" s="2">
        <f t="shared" si="5"/>
        <v>1</v>
      </c>
      <c r="O22" s="2">
        <f t="shared" si="6"/>
        <v>16</v>
      </c>
    </row>
    <row r="23" spans="1:15" x14ac:dyDescent="0.35">
      <c r="A23" s="2" t="s">
        <v>73</v>
      </c>
      <c r="B23" s="2" t="s">
        <v>52</v>
      </c>
      <c r="C23" s="2" t="s">
        <v>17</v>
      </c>
      <c r="D23" s="2" t="s">
        <v>68</v>
      </c>
      <c r="E23" s="2" t="s">
        <v>74</v>
      </c>
      <c r="F23" s="2" t="s">
        <v>20</v>
      </c>
      <c r="G23" s="2" t="s">
        <v>21</v>
      </c>
      <c r="H23" s="2">
        <f>IF(C23="Dynasty Autographs",Calculator!$E$4,IF(C23="Debut Day Inscriptions",Calculator!$E$5,IFERROR(VALUE(SUBSTITUTE(F23,"/","")),0)))</f>
        <v>10</v>
      </c>
      <c r="I23" s="2">
        <f t="shared" si="0"/>
        <v>0</v>
      </c>
      <c r="J23" s="2">
        <f t="shared" si="1"/>
        <v>0</v>
      </c>
      <c r="K23" s="2">
        <f t="shared" si="2"/>
        <v>0</v>
      </c>
      <c r="L23" s="2">
        <f t="shared" si="3"/>
        <v>10</v>
      </c>
      <c r="M23" s="2">
        <f t="shared" si="4"/>
        <v>5</v>
      </c>
      <c r="N23" s="2">
        <f t="shared" si="5"/>
        <v>1</v>
      </c>
      <c r="O23" s="2">
        <f t="shared" si="6"/>
        <v>16</v>
      </c>
    </row>
    <row r="24" spans="1:15" x14ac:dyDescent="0.35">
      <c r="A24" s="2" t="s">
        <v>75</v>
      </c>
      <c r="B24" s="2" t="s">
        <v>76</v>
      </c>
      <c r="C24" s="2" t="s">
        <v>17</v>
      </c>
      <c r="D24" s="2" t="s">
        <v>68</v>
      </c>
      <c r="E24" s="2" t="s">
        <v>77</v>
      </c>
      <c r="F24" s="2" t="s">
        <v>20</v>
      </c>
      <c r="G24" s="2" t="s">
        <v>21</v>
      </c>
      <c r="H24" s="2">
        <f>IF(C24="Dynasty Autographs",Calculator!$E$4,IF(C24="Debut Day Inscriptions",Calculator!$E$5,IFERROR(VALUE(SUBSTITUTE(F24,"/","")),0)))</f>
        <v>10</v>
      </c>
      <c r="I24" s="2">
        <f t="shared" si="0"/>
        <v>0</v>
      </c>
      <c r="J24" s="2">
        <f t="shared" si="1"/>
        <v>0</v>
      </c>
      <c r="K24" s="2">
        <f t="shared" si="2"/>
        <v>0</v>
      </c>
      <c r="L24" s="2">
        <f t="shared" si="3"/>
        <v>10</v>
      </c>
      <c r="M24" s="2">
        <f t="shared" si="4"/>
        <v>5</v>
      </c>
      <c r="N24" s="2">
        <f t="shared" si="5"/>
        <v>1</v>
      </c>
      <c r="O24" s="2">
        <f t="shared" si="6"/>
        <v>16</v>
      </c>
    </row>
    <row r="25" spans="1:15" x14ac:dyDescent="0.35">
      <c r="A25" s="2" t="s">
        <v>78</v>
      </c>
      <c r="B25" s="2" t="s">
        <v>26</v>
      </c>
      <c r="C25" s="2" t="s">
        <v>17</v>
      </c>
      <c r="D25" s="2" t="s">
        <v>68</v>
      </c>
      <c r="E25" s="2" t="s">
        <v>79</v>
      </c>
      <c r="F25" s="2" t="s">
        <v>20</v>
      </c>
      <c r="G25" s="2" t="s">
        <v>21</v>
      </c>
      <c r="H25" s="2">
        <f>IF(C25="Dynasty Autographs",Calculator!$E$4,IF(C25="Debut Day Inscriptions",Calculator!$E$5,IFERROR(VALUE(SUBSTITUTE(F25,"/","")),0)))</f>
        <v>10</v>
      </c>
      <c r="I25" s="2">
        <f t="shared" si="0"/>
        <v>0</v>
      </c>
      <c r="J25" s="2">
        <f t="shared" si="1"/>
        <v>0</v>
      </c>
      <c r="K25" s="2">
        <f t="shared" si="2"/>
        <v>0</v>
      </c>
      <c r="L25" s="2">
        <f t="shared" si="3"/>
        <v>10</v>
      </c>
      <c r="M25" s="2">
        <f t="shared" si="4"/>
        <v>5</v>
      </c>
      <c r="N25" s="2">
        <f t="shared" si="5"/>
        <v>1</v>
      </c>
      <c r="O25" s="2">
        <f t="shared" si="6"/>
        <v>16</v>
      </c>
    </row>
    <row r="26" spans="1:15" x14ac:dyDescent="0.35">
      <c r="A26" s="2" t="s">
        <v>80</v>
      </c>
      <c r="B26" s="2" t="s">
        <v>42</v>
      </c>
      <c r="C26" s="2" t="s">
        <v>17</v>
      </c>
      <c r="D26" s="2" t="s">
        <v>68</v>
      </c>
      <c r="E26" s="2" t="s">
        <v>81</v>
      </c>
      <c r="F26" s="2" t="s">
        <v>20</v>
      </c>
      <c r="G26" s="2" t="s">
        <v>21</v>
      </c>
      <c r="H26" s="2">
        <f>IF(C26="Dynasty Autographs",Calculator!$E$4,IF(C26="Debut Day Inscriptions",Calculator!$E$5,IFERROR(VALUE(SUBSTITUTE(F26,"/","")),0)))</f>
        <v>10</v>
      </c>
      <c r="I26" s="2">
        <f t="shared" si="0"/>
        <v>0</v>
      </c>
      <c r="J26" s="2">
        <f t="shared" si="1"/>
        <v>0</v>
      </c>
      <c r="K26" s="2">
        <f t="shared" si="2"/>
        <v>0</v>
      </c>
      <c r="L26" s="2">
        <f t="shared" si="3"/>
        <v>10</v>
      </c>
      <c r="M26" s="2">
        <f t="shared" si="4"/>
        <v>5</v>
      </c>
      <c r="N26" s="2">
        <f t="shared" si="5"/>
        <v>1</v>
      </c>
      <c r="O26" s="2">
        <f t="shared" si="6"/>
        <v>16</v>
      </c>
    </row>
    <row r="27" spans="1:15" x14ac:dyDescent="0.35">
      <c r="A27" s="2" t="s">
        <v>82</v>
      </c>
      <c r="B27" s="2" t="s">
        <v>26</v>
      </c>
      <c r="C27" s="2" t="s">
        <v>17</v>
      </c>
      <c r="D27" s="2" t="s">
        <v>68</v>
      </c>
      <c r="E27" s="2" t="s">
        <v>83</v>
      </c>
      <c r="F27" s="2" t="s">
        <v>20</v>
      </c>
      <c r="G27" s="2" t="s">
        <v>21</v>
      </c>
      <c r="H27" s="2">
        <f>IF(C27="Dynasty Autographs",Calculator!$E$4,IF(C27="Debut Day Inscriptions",Calculator!$E$5,IFERROR(VALUE(SUBSTITUTE(F27,"/","")),0)))</f>
        <v>10</v>
      </c>
      <c r="I27" s="2">
        <f t="shared" si="0"/>
        <v>0</v>
      </c>
      <c r="J27" s="2">
        <f t="shared" si="1"/>
        <v>0</v>
      </c>
      <c r="K27" s="2">
        <f t="shared" si="2"/>
        <v>0</v>
      </c>
      <c r="L27" s="2">
        <f t="shared" si="3"/>
        <v>10</v>
      </c>
      <c r="M27" s="2">
        <f t="shared" si="4"/>
        <v>5</v>
      </c>
      <c r="N27" s="2">
        <f t="shared" si="5"/>
        <v>1</v>
      </c>
      <c r="O27" s="2">
        <f t="shared" si="6"/>
        <v>16</v>
      </c>
    </row>
    <row r="28" spans="1:15" x14ac:dyDescent="0.35">
      <c r="A28" s="2" t="s">
        <v>84</v>
      </c>
      <c r="B28" s="2" t="s">
        <v>63</v>
      </c>
      <c r="C28" s="2" t="s">
        <v>17</v>
      </c>
      <c r="D28" s="2" t="s">
        <v>68</v>
      </c>
      <c r="E28" s="2" t="s">
        <v>85</v>
      </c>
      <c r="F28" s="2" t="s">
        <v>20</v>
      </c>
      <c r="G28" s="2" t="s">
        <v>21</v>
      </c>
      <c r="H28" s="2">
        <f>IF(C28="Dynasty Autographs",Calculator!$E$4,IF(C28="Debut Day Inscriptions",Calculator!$E$5,IFERROR(VALUE(SUBSTITUTE(F28,"/","")),0)))</f>
        <v>10</v>
      </c>
      <c r="I28" s="2">
        <f t="shared" si="0"/>
        <v>0</v>
      </c>
      <c r="J28" s="2">
        <f t="shared" si="1"/>
        <v>0</v>
      </c>
      <c r="K28" s="2">
        <f t="shared" si="2"/>
        <v>0</v>
      </c>
      <c r="L28" s="2">
        <f t="shared" si="3"/>
        <v>10</v>
      </c>
      <c r="M28" s="2">
        <f t="shared" si="4"/>
        <v>5</v>
      </c>
      <c r="N28" s="2">
        <f t="shared" si="5"/>
        <v>1</v>
      </c>
      <c r="O28" s="2">
        <f t="shared" si="6"/>
        <v>16</v>
      </c>
    </row>
    <row r="29" spans="1:15" x14ac:dyDescent="0.35">
      <c r="A29" s="2" t="s">
        <v>86</v>
      </c>
      <c r="B29" s="2" t="s">
        <v>87</v>
      </c>
      <c r="C29" s="2" t="s">
        <v>17</v>
      </c>
      <c r="D29" s="2" t="s">
        <v>68</v>
      </c>
      <c r="E29" s="2" t="s">
        <v>88</v>
      </c>
      <c r="F29" s="2" t="s">
        <v>20</v>
      </c>
      <c r="G29" s="2" t="s">
        <v>21</v>
      </c>
      <c r="H29" s="2">
        <f>IF(C29="Dynasty Autographs",Calculator!$E$4,IF(C29="Debut Day Inscriptions",Calculator!$E$5,IFERROR(VALUE(SUBSTITUTE(F29,"/","")),0)))</f>
        <v>10</v>
      </c>
      <c r="I29" s="2">
        <f t="shared" si="0"/>
        <v>0</v>
      </c>
      <c r="J29" s="2">
        <f t="shared" si="1"/>
        <v>0</v>
      </c>
      <c r="K29" s="2">
        <f t="shared" si="2"/>
        <v>0</v>
      </c>
      <c r="L29" s="2">
        <f t="shared" si="3"/>
        <v>10</v>
      </c>
      <c r="M29" s="2">
        <f t="shared" si="4"/>
        <v>5</v>
      </c>
      <c r="N29" s="2">
        <f t="shared" si="5"/>
        <v>1</v>
      </c>
      <c r="O29" s="2">
        <f t="shared" si="6"/>
        <v>16</v>
      </c>
    </row>
    <row r="30" spans="1:15" x14ac:dyDescent="0.35">
      <c r="A30" s="2" t="s">
        <v>89</v>
      </c>
      <c r="B30" s="2" t="s">
        <v>71</v>
      </c>
      <c r="C30" s="2" t="s">
        <v>17</v>
      </c>
      <c r="D30" s="2" t="s">
        <v>68</v>
      </c>
      <c r="E30" s="2" t="s">
        <v>90</v>
      </c>
      <c r="F30" s="2" t="s">
        <v>20</v>
      </c>
      <c r="G30" s="2" t="s">
        <v>21</v>
      </c>
      <c r="H30" s="2">
        <f>IF(C30="Dynasty Autographs",Calculator!$E$4,IF(C30="Debut Day Inscriptions",Calculator!$E$5,IFERROR(VALUE(SUBSTITUTE(F30,"/","")),0)))</f>
        <v>10</v>
      </c>
      <c r="I30" s="2">
        <f t="shared" si="0"/>
        <v>0</v>
      </c>
      <c r="J30" s="2">
        <f t="shared" si="1"/>
        <v>0</v>
      </c>
      <c r="K30" s="2">
        <f t="shared" si="2"/>
        <v>0</v>
      </c>
      <c r="L30" s="2">
        <f t="shared" si="3"/>
        <v>10</v>
      </c>
      <c r="M30" s="2">
        <f t="shared" si="4"/>
        <v>5</v>
      </c>
      <c r="N30" s="2">
        <f t="shared" si="5"/>
        <v>1</v>
      </c>
      <c r="O30" s="2">
        <f t="shared" si="6"/>
        <v>16</v>
      </c>
    </row>
    <row r="31" spans="1:15" x14ac:dyDescent="0.35">
      <c r="A31" s="2" t="s">
        <v>91</v>
      </c>
      <c r="B31" s="2" t="s">
        <v>26</v>
      </c>
      <c r="C31" s="2" t="s">
        <v>17</v>
      </c>
      <c r="D31" s="2" t="s">
        <v>68</v>
      </c>
      <c r="E31" s="2" t="s">
        <v>92</v>
      </c>
      <c r="F31" s="2" t="s">
        <v>20</v>
      </c>
      <c r="G31" s="2" t="s">
        <v>21</v>
      </c>
      <c r="H31" s="2">
        <f>IF(C31="Dynasty Autographs",Calculator!$E$4,IF(C31="Debut Day Inscriptions",Calculator!$E$5,IFERROR(VALUE(SUBSTITUTE(F31,"/","")),0)))</f>
        <v>10</v>
      </c>
      <c r="I31" s="2">
        <f t="shared" si="0"/>
        <v>0</v>
      </c>
      <c r="J31" s="2">
        <f t="shared" si="1"/>
        <v>0</v>
      </c>
      <c r="K31" s="2">
        <f t="shared" si="2"/>
        <v>0</v>
      </c>
      <c r="L31" s="2">
        <f t="shared" si="3"/>
        <v>10</v>
      </c>
      <c r="M31" s="2">
        <f t="shared" si="4"/>
        <v>5</v>
      </c>
      <c r="N31" s="2">
        <f t="shared" si="5"/>
        <v>1</v>
      </c>
      <c r="O31" s="2">
        <f t="shared" si="6"/>
        <v>16</v>
      </c>
    </row>
    <row r="32" spans="1:15" x14ac:dyDescent="0.35">
      <c r="A32" s="2" t="s">
        <v>93</v>
      </c>
      <c r="B32" s="2" t="s">
        <v>47</v>
      </c>
      <c r="C32" s="2" t="s">
        <v>17</v>
      </c>
      <c r="D32" s="2" t="s">
        <v>68</v>
      </c>
      <c r="E32" s="2" t="s">
        <v>94</v>
      </c>
      <c r="F32" s="2" t="s">
        <v>20</v>
      </c>
      <c r="G32" s="2" t="s">
        <v>21</v>
      </c>
      <c r="H32" s="2">
        <f>IF(C32="Dynasty Autographs",Calculator!$E$4,IF(C32="Debut Day Inscriptions",Calculator!$E$5,IFERROR(VALUE(SUBSTITUTE(F32,"/","")),0)))</f>
        <v>10</v>
      </c>
      <c r="I32" s="2">
        <f t="shared" si="0"/>
        <v>0</v>
      </c>
      <c r="J32" s="2">
        <f t="shared" si="1"/>
        <v>0</v>
      </c>
      <c r="K32" s="2">
        <f t="shared" si="2"/>
        <v>0</v>
      </c>
      <c r="L32" s="2">
        <f t="shared" si="3"/>
        <v>10</v>
      </c>
      <c r="M32" s="2">
        <f t="shared" si="4"/>
        <v>5</v>
      </c>
      <c r="N32" s="2">
        <f t="shared" si="5"/>
        <v>1</v>
      </c>
      <c r="O32" s="2">
        <f t="shared" si="6"/>
        <v>16</v>
      </c>
    </row>
    <row r="33" spans="1:15" ht="29" x14ac:dyDescent="0.35">
      <c r="A33" s="2" t="s">
        <v>22</v>
      </c>
      <c r="B33" s="2" t="s">
        <v>23</v>
      </c>
      <c r="C33" s="2" t="s">
        <v>95</v>
      </c>
      <c r="D33" s="2" t="s">
        <v>96</v>
      </c>
      <c r="E33" s="2" t="s">
        <v>97</v>
      </c>
      <c r="F33" s="2" t="s">
        <v>98</v>
      </c>
      <c r="G33" s="2" t="s">
        <v>21</v>
      </c>
      <c r="H33" s="2">
        <f>IF(C33="Dynasty Autographs",Calculator!$E$4,IF(C33="Debut Day Inscriptions",Calculator!$E$5,IFERROR(VALUE(SUBSTITUTE(F33,"/","")),0)))</f>
        <v>10</v>
      </c>
      <c r="I33" s="2">
        <f t="shared" si="0"/>
        <v>0</v>
      </c>
      <c r="J33" s="2">
        <f t="shared" si="1"/>
        <v>0</v>
      </c>
      <c r="K33" s="2">
        <f t="shared" si="2"/>
        <v>0</v>
      </c>
      <c r="L33" s="2">
        <f t="shared" si="3"/>
        <v>10</v>
      </c>
      <c r="M33" s="2">
        <f t="shared" si="4"/>
        <v>5</v>
      </c>
      <c r="N33" s="2">
        <f t="shared" si="5"/>
        <v>1</v>
      </c>
      <c r="O33" s="2">
        <f t="shared" si="6"/>
        <v>16</v>
      </c>
    </row>
    <row r="34" spans="1:15" ht="29" x14ac:dyDescent="0.35">
      <c r="A34" s="2" t="s">
        <v>25</v>
      </c>
      <c r="B34" s="2" t="s">
        <v>26</v>
      </c>
      <c r="C34" s="2" t="s">
        <v>95</v>
      </c>
      <c r="D34" s="2" t="s">
        <v>96</v>
      </c>
      <c r="E34" s="2" t="s">
        <v>99</v>
      </c>
      <c r="F34" s="2" t="s">
        <v>98</v>
      </c>
      <c r="G34" s="2" t="s">
        <v>21</v>
      </c>
      <c r="H34" s="2">
        <f>IF(C34="Dynasty Autographs",Calculator!$E$4,IF(C34="Debut Day Inscriptions",Calculator!$E$5,IFERROR(VALUE(SUBSTITUTE(F34,"/","")),0)))</f>
        <v>10</v>
      </c>
      <c r="I34" s="2">
        <f t="shared" si="0"/>
        <v>0</v>
      </c>
      <c r="J34" s="2">
        <f t="shared" si="1"/>
        <v>0</v>
      </c>
      <c r="K34" s="2">
        <f t="shared" si="2"/>
        <v>0</v>
      </c>
      <c r="L34" s="2">
        <f t="shared" si="3"/>
        <v>10</v>
      </c>
      <c r="M34" s="2">
        <f t="shared" si="4"/>
        <v>5</v>
      </c>
      <c r="N34" s="2">
        <f t="shared" si="5"/>
        <v>1</v>
      </c>
      <c r="O34" s="2">
        <f t="shared" si="6"/>
        <v>16</v>
      </c>
    </row>
    <row r="35" spans="1:15" ht="29" x14ac:dyDescent="0.35">
      <c r="A35" s="2" t="s">
        <v>30</v>
      </c>
      <c r="B35" s="2" t="s">
        <v>16</v>
      </c>
      <c r="C35" s="2" t="s">
        <v>95</v>
      </c>
      <c r="D35" s="2" t="s">
        <v>96</v>
      </c>
      <c r="E35" s="2" t="s">
        <v>100</v>
      </c>
      <c r="F35" s="2" t="s">
        <v>98</v>
      </c>
      <c r="G35" s="2" t="s">
        <v>21</v>
      </c>
      <c r="H35" s="2">
        <f>IF(C35="Dynasty Autographs",Calculator!$E$4,IF(C35="Debut Day Inscriptions",Calculator!$E$5,IFERROR(VALUE(SUBSTITUTE(F35,"/","")),0)))</f>
        <v>10</v>
      </c>
      <c r="I35" s="2">
        <f t="shared" si="0"/>
        <v>0</v>
      </c>
      <c r="J35" s="2">
        <f t="shared" si="1"/>
        <v>0</v>
      </c>
      <c r="K35" s="2">
        <f t="shared" si="2"/>
        <v>0</v>
      </c>
      <c r="L35" s="2">
        <f t="shared" si="3"/>
        <v>10</v>
      </c>
      <c r="M35" s="2">
        <f t="shared" si="4"/>
        <v>5</v>
      </c>
      <c r="N35" s="2">
        <f t="shared" si="5"/>
        <v>1</v>
      </c>
      <c r="O35" s="2">
        <f t="shared" si="6"/>
        <v>16</v>
      </c>
    </row>
    <row r="36" spans="1:15" ht="29" x14ac:dyDescent="0.35">
      <c r="A36" s="2" t="s">
        <v>70</v>
      </c>
      <c r="B36" s="2" t="s">
        <v>101</v>
      </c>
      <c r="C36" s="2" t="s">
        <v>95</v>
      </c>
      <c r="D36" s="2" t="s">
        <v>96</v>
      </c>
      <c r="E36" s="2" t="s">
        <v>102</v>
      </c>
      <c r="F36" s="2" t="s">
        <v>98</v>
      </c>
      <c r="G36" s="2" t="s">
        <v>21</v>
      </c>
      <c r="H36" s="2">
        <f>IF(C36="Dynasty Autographs",Calculator!$E$4,IF(C36="Debut Day Inscriptions",Calculator!$E$5,IFERROR(VALUE(SUBSTITUTE(F36,"/","")),0)))</f>
        <v>10</v>
      </c>
      <c r="I36" s="2">
        <f t="shared" si="0"/>
        <v>0</v>
      </c>
      <c r="J36" s="2">
        <f t="shared" si="1"/>
        <v>0</v>
      </c>
      <c r="K36" s="2">
        <f t="shared" si="2"/>
        <v>0</v>
      </c>
      <c r="L36" s="2">
        <f t="shared" si="3"/>
        <v>10</v>
      </c>
      <c r="M36" s="2">
        <f t="shared" si="4"/>
        <v>5</v>
      </c>
      <c r="N36" s="2">
        <f t="shared" si="5"/>
        <v>1</v>
      </c>
      <c r="O36" s="2">
        <f t="shared" si="6"/>
        <v>16</v>
      </c>
    </row>
    <row r="37" spans="1:15" ht="29" x14ac:dyDescent="0.35">
      <c r="A37" s="2" t="s">
        <v>103</v>
      </c>
      <c r="B37" s="2" t="s">
        <v>23</v>
      </c>
      <c r="C37" s="2" t="s">
        <v>95</v>
      </c>
      <c r="D37" s="2" t="s">
        <v>96</v>
      </c>
      <c r="E37" s="2" t="s">
        <v>104</v>
      </c>
      <c r="F37" s="2" t="s">
        <v>98</v>
      </c>
      <c r="G37" s="2" t="s">
        <v>21</v>
      </c>
      <c r="H37" s="2">
        <f>IF(C37="Dynasty Autographs",Calculator!$E$4,IF(C37="Debut Day Inscriptions",Calculator!$E$5,IFERROR(VALUE(SUBSTITUTE(F37,"/","")),0)))</f>
        <v>10</v>
      </c>
      <c r="I37" s="2">
        <f t="shared" si="0"/>
        <v>0</v>
      </c>
      <c r="J37" s="2">
        <f t="shared" si="1"/>
        <v>0</v>
      </c>
      <c r="K37" s="2">
        <f t="shared" si="2"/>
        <v>0</v>
      </c>
      <c r="L37" s="2">
        <f t="shared" si="3"/>
        <v>10</v>
      </c>
      <c r="M37" s="2">
        <f t="shared" si="4"/>
        <v>5</v>
      </c>
      <c r="N37" s="2">
        <f t="shared" si="5"/>
        <v>1</v>
      </c>
      <c r="O37" s="2">
        <f t="shared" si="6"/>
        <v>16</v>
      </c>
    </row>
    <row r="38" spans="1:15" ht="29" x14ac:dyDescent="0.35">
      <c r="A38" s="2" t="s">
        <v>105</v>
      </c>
      <c r="B38" s="2" t="s">
        <v>36</v>
      </c>
      <c r="C38" s="2" t="s">
        <v>95</v>
      </c>
      <c r="D38" s="2" t="s">
        <v>96</v>
      </c>
      <c r="E38" s="2" t="s">
        <v>106</v>
      </c>
      <c r="F38" s="2" t="s">
        <v>98</v>
      </c>
      <c r="G38" s="2" t="s">
        <v>21</v>
      </c>
      <c r="H38" s="2">
        <f>IF(C38="Dynasty Autographs",Calculator!$E$4,IF(C38="Debut Day Inscriptions",Calculator!$E$5,IFERROR(VALUE(SUBSTITUTE(F38,"/","")),0)))</f>
        <v>10</v>
      </c>
      <c r="I38" s="2">
        <f t="shared" si="0"/>
        <v>0</v>
      </c>
      <c r="J38" s="2">
        <f t="shared" si="1"/>
        <v>0</v>
      </c>
      <c r="K38" s="2">
        <f t="shared" si="2"/>
        <v>0</v>
      </c>
      <c r="L38" s="2">
        <f t="shared" si="3"/>
        <v>10</v>
      </c>
      <c r="M38" s="2">
        <f t="shared" si="4"/>
        <v>5</v>
      </c>
      <c r="N38" s="2">
        <f t="shared" si="5"/>
        <v>1</v>
      </c>
      <c r="O38" s="2">
        <f t="shared" si="6"/>
        <v>16</v>
      </c>
    </row>
    <row r="39" spans="1:15" ht="29" x14ac:dyDescent="0.35">
      <c r="A39" s="2" t="s">
        <v>107</v>
      </c>
      <c r="B39" s="2" t="s">
        <v>42</v>
      </c>
      <c r="C39" s="2" t="s">
        <v>95</v>
      </c>
      <c r="D39" s="2" t="s">
        <v>96</v>
      </c>
      <c r="E39" s="2" t="s">
        <v>108</v>
      </c>
      <c r="F39" s="2" t="s">
        <v>98</v>
      </c>
      <c r="G39" s="2" t="s">
        <v>21</v>
      </c>
      <c r="H39" s="2">
        <f>IF(C39="Dynasty Autographs",Calculator!$E$4,IF(C39="Debut Day Inscriptions",Calculator!$E$5,IFERROR(VALUE(SUBSTITUTE(F39,"/","")),0)))</f>
        <v>10</v>
      </c>
      <c r="I39" s="2">
        <f t="shared" si="0"/>
        <v>0</v>
      </c>
      <c r="J39" s="2">
        <f t="shared" si="1"/>
        <v>0</v>
      </c>
      <c r="K39" s="2">
        <f t="shared" si="2"/>
        <v>0</v>
      </c>
      <c r="L39" s="2">
        <f t="shared" si="3"/>
        <v>10</v>
      </c>
      <c r="M39" s="2">
        <f t="shared" si="4"/>
        <v>5</v>
      </c>
      <c r="N39" s="2">
        <f t="shared" si="5"/>
        <v>1</v>
      </c>
      <c r="O39" s="2">
        <f t="shared" si="6"/>
        <v>16</v>
      </c>
    </row>
    <row r="40" spans="1:15" ht="29" x14ac:dyDescent="0.35">
      <c r="A40" s="2" t="s">
        <v>73</v>
      </c>
      <c r="B40" s="2" t="s">
        <v>52</v>
      </c>
      <c r="C40" s="2" t="s">
        <v>95</v>
      </c>
      <c r="D40" s="2" t="s">
        <v>96</v>
      </c>
      <c r="E40" s="2" t="s">
        <v>109</v>
      </c>
      <c r="F40" s="2" t="s">
        <v>98</v>
      </c>
      <c r="G40" s="2" t="s">
        <v>21</v>
      </c>
      <c r="H40" s="2">
        <f>IF(C40="Dynasty Autographs",Calculator!$E$4,IF(C40="Debut Day Inscriptions",Calculator!$E$5,IFERROR(VALUE(SUBSTITUTE(F40,"/","")),0)))</f>
        <v>10</v>
      </c>
      <c r="I40" s="2">
        <f t="shared" si="0"/>
        <v>0</v>
      </c>
      <c r="J40" s="2">
        <f t="shared" si="1"/>
        <v>0</v>
      </c>
      <c r="K40" s="2">
        <f t="shared" si="2"/>
        <v>0</v>
      </c>
      <c r="L40" s="2">
        <f t="shared" si="3"/>
        <v>10</v>
      </c>
      <c r="M40" s="2">
        <f t="shared" si="4"/>
        <v>5</v>
      </c>
      <c r="N40" s="2">
        <f t="shared" si="5"/>
        <v>1</v>
      </c>
      <c r="O40" s="2">
        <f t="shared" si="6"/>
        <v>16</v>
      </c>
    </row>
    <row r="41" spans="1:15" ht="29" x14ac:dyDescent="0.35">
      <c r="A41" s="2" t="s">
        <v>44</v>
      </c>
      <c r="B41" s="2" t="s">
        <v>23</v>
      </c>
      <c r="C41" s="2" t="s">
        <v>95</v>
      </c>
      <c r="D41" s="2" t="s">
        <v>96</v>
      </c>
      <c r="E41" s="2" t="s">
        <v>110</v>
      </c>
      <c r="F41" s="2" t="s">
        <v>98</v>
      </c>
      <c r="G41" s="2" t="s">
        <v>21</v>
      </c>
      <c r="H41" s="2">
        <f>IF(C41="Dynasty Autographs",Calculator!$E$4,IF(C41="Debut Day Inscriptions",Calculator!$E$5,IFERROR(VALUE(SUBSTITUTE(F41,"/","")),0)))</f>
        <v>10</v>
      </c>
      <c r="I41" s="2">
        <f t="shared" si="0"/>
        <v>0</v>
      </c>
      <c r="J41" s="2">
        <f t="shared" si="1"/>
        <v>0</v>
      </c>
      <c r="K41" s="2">
        <f t="shared" si="2"/>
        <v>0</v>
      </c>
      <c r="L41" s="2">
        <f t="shared" si="3"/>
        <v>10</v>
      </c>
      <c r="M41" s="2">
        <f t="shared" si="4"/>
        <v>5</v>
      </c>
      <c r="N41" s="2">
        <f t="shared" si="5"/>
        <v>1</v>
      </c>
      <c r="O41" s="2">
        <f t="shared" si="6"/>
        <v>16</v>
      </c>
    </row>
    <row r="42" spans="1:15" ht="29" x14ac:dyDescent="0.35">
      <c r="A42" s="2" t="s">
        <v>78</v>
      </c>
      <c r="B42" s="2" t="s">
        <v>111</v>
      </c>
      <c r="C42" s="2" t="s">
        <v>95</v>
      </c>
      <c r="D42" s="2" t="s">
        <v>96</v>
      </c>
      <c r="E42" s="2" t="s">
        <v>112</v>
      </c>
      <c r="F42" s="2" t="s">
        <v>98</v>
      </c>
      <c r="G42" s="2" t="s">
        <v>21</v>
      </c>
      <c r="H42" s="2">
        <f>IF(C42="Dynasty Autographs",Calculator!$E$4,IF(C42="Debut Day Inscriptions",Calculator!$E$5,IFERROR(VALUE(SUBSTITUTE(F42,"/","")),0)))</f>
        <v>10</v>
      </c>
      <c r="I42" s="2">
        <f t="shared" si="0"/>
        <v>0</v>
      </c>
      <c r="J42" s="2">
        <f t="shared" si="1"/>
        <v>0</v>
      </c>
      <c r="K42" s="2">
        <f t="shared" si="2"/>
        <v>0</v>
      </c>
      <c r="L42" s="2">
        <f t="shared" si="3"/>
        <v>10</v>
      </c>
      <c r="M42" s="2">
        <f t="shared" si="4"/>
        <v>5</v>
      </c>
      <c r="N42" s="2">
        <f t="shared" si="5"/>
        <v>1</v>
      </c>
      <c r="O42" s="2">
        <f t="shared" si="6"/>
        <v>16</v>
      </c>
    </row>
    <row r="43" spans="1:15" ht="29" x14ac:dyDescent="0.35">
      <c r="A43" s="2" t="s">
        <v>80</v>
      </c>
      <c r="B43" s="2" t="s">
        <v>113</v>
      </c>
      <c r="C43" s="2" t="s">
        <v>95</v>
      </c>
      <c r="D43" s="2" t="s">
        <v>96</v>
      </c>
      <c r="E43" s="2" t="s">
        <v>114</v>
      </c>
      <c r="F43" s="2" t="s">
        <v>98</v>
      </c>
      <c r="G43" s="2" t="s">
        <v>21</v>
      </c>
      <c r="H43" s="2">
        <f>IF(C43="Dynasty Autographs",Calculator!$E$4,IF(C43="Debut Day Inscriptions",Calculator!$E$5,IFERROR(VALUE(SUBSTITUTE(F43,"/","")),0)))</f>
        <v>10</v>
      </c>
      <c r="I43" s="2">
        <f t="shared" si="0"/>
        <v>0</v>
      </c>
      <c r="J43" s="2">
        <f t="shared" si="1"/>
        <v>0</v>
      </c>
      <c r="K43" s="2">
        <f t="shared" si="2"/>
        <v>0</v>
      </c>
      <c r="L43" s="2">
        <f t="shared" si="3"/>
        <v>10</v>
      </c>
      <c r="M43" s="2">
        <f t="shared" si="4"/>
        <v>5</v>
      </c>
      <c r="N43" s="2">
        <f t="shared" si="5"/>
        <v>1</v>
      </c>
      <c r="O43" s="2">
        <f t="shared" si="6"/>
        <v>16</v>
      </c>
    </row>
    <row r="44" spans="1:15" ht="29" x14ac:dyDescent="0.35">
      <c r="A44" s="2" t="s">
        <v>115</v>
      </c>
      <c r="B44" s="2" t="s">
        <v>16</v>
      </c>
      <c r="C44" s="2" t="s">
        <v>95</v>
      </c>
      <c r="D44" s="2" t="s">
        <v>96</v>
      </c>
      <c r="E44" s="2" t="s">
        <v>116</v>
      </c>
      <c r="F44" s="2" t="s">
        <v>98</v>
      </c>
      <c r="G44" s="2" t="s">
        <v>21</v>
      </c>
      <c r="H44" s="2">
        <f>IF(C44="Dynasty Autographs",Calculator!$E$4,IF(C44="Debut Day Inscriptions",Calculator!$E$5,IFERROR(VALUE(SUBSTITUTE(F44,"/","")),0)))</f>
        <v>10</v>
      </c>
      <c r="I44" s="2">
        <f t="shared" si="0"/>
        <v>0</v>
      </c>
      <c r="J44" s="2">
        <f t="shared" si="1"/>
        <v>0</v>
      </c>
      <c r="K44" s="2">
        <f t="shared" si="2"/>
        <v>0</v>
      </c>
      <c r="L44" s="2">
        <f t="shared" si="3"/>
        <v>10</v>
      </c>
      <c r="M44" s="2">
        <f t="shared" si="4"/>
        <v>5</v>
      </c>
      <c r="N44" s="2">
        <f t="shared" si="5"/>
        <v>1</v>
      </c>
      <c r="O44" s="2">
        <f t="shared" si="6"/>
        <v>16</v>
      </c>
    </row>
    <row r="45" spans="1:15" ht="29" x14ac:dyDescent="0.35">
      <c r="A45" s="2" t="s">
        <v>51</v>
      </c>
      <c r="B45" s="2" t="s">
        <v>52</v>
      </c>
      <c r="C45" s="2" t="s">
        <v>95</v>
      </c>
      <c r="D45" s="2" t="s">
        <v>96</v>
      </c>
      <c r="E45" s="2" t="s">
        <v>117</v>
      </c>
      <c r="F45" s="2" t="s">
        <v>98</v>
      </c>
      <c r="G45" s="2" t="s">
        <v>21</v>
      </c>
      <c r="H45" s="2">
        <f>IF(C45="Dynasty Autographs",Calculator!$E$4,IF(C45="Debut Day Inscriptions",Calculator!$E$5,IFERROR(VALUE(SUBSTITUTE(F45,"/","")),0)))</f>
        <v>10</v>
      </c>
      <c r="I45" s="2">
        <f t="shared" si="0"/>
        <v>0</v>
      </c>
      <c r="J45" s="2">
        <f t="shared" si="1"/>
        <v>0</v>
      </c>
      <c r="K45" s="2">
        <f t="shared" si="2"/>
        <v>0</v>
      </c>
      <c r="L45" s="2">
        <f t="shared" si="3"/>
        <v>10</v>
      </c>
      <c r="M45" s="2">
        <f t="shared" si="4"/>
        <v>5</v>
      </c>
      <c r="N45" s="2">
        <f t="shared" si="5"/>
        <v>1</v>
      </c>
      <c r="O45" s="2">
        <f t="shared" si="6"/>
        <v>16</v>
      </c>
    </row>
    <row r="46" spans="1:15" ht="29" x14ac:dyDescent="0.35">
      <c r="A46" s="2" t="s">
        <v>118</v>
      </c>
      <c r="B46" s="2" t="s">
        <v>47</v>
      </c>
      <c r="C46" s="2" t="s">
        <v>95</v>
      </c>
      <c r="D46" s="2" t="s">
        <v>96</v>
      </c>
      <c r="E46" s="2" t="s">
        <v>119</v>
      </c>
      <c r="F46" s="2" t="s">
        <v>98</v>
      </c>
      <c r="G46" s="2" t="s">
        <v>21</v>
      </c>
      <c r="H46" s="2">
        <f>IF(C46="Dynasty Autographs",Calculator!$E$4,IF(C46="Debut Day Inscriptions",Calculator!$E$5,IFERROR(VALUE(SUBSTITUTE(F46,"/","")),0)))</f>
        <v>10</v>
      </c>
      <c r="I46" s="2">
        <f t="shared" si="0"/>
        <v>0</v>
      </c>
      <c r="J46" s="2">
        <f t="shared" si="1"/>
        <v>0</v>
      </c>
      <c r="K46" s="2">
        <f t="shared" si="2"/>
        <v>0</v>
      </c>
      <c r="L46" s="2">
        <f t="shared" si="3"/>
        <v>10</v>
      </c>
      <c r="M46" s="2">
        <f t="shared" si="4"/>
        <v>5</v>
      </c>
      <c r="N46" s="2">
        <f t="shared" si="5"/>
        <v>1</v>
      </c>
      <c r="O46" s="2">
        <f t="shared" si="6"/>
        <v>16</v>
      </c>
    </row>
    <row r="47" spans="1:15" ht="29" x14ac:dyDescent="0.35">
      <c r="A47" s="2" t="s">
        <v>120</v>
      </c>
      <c r="B47" s="2" t="s">
        <v>52</v>
      </c>
      <c r="C47" s="2" t="s">
        <v>95</v>
      </c>
      <c r="D47" s="2" t="s">
        <v>96</v>
      </c>
      <c r="E47" s="2" t="s">
        <v>121</v>
      </c>
      <c r="F47" s="2" t="s">
        <v>98</v>
      </c>
      <c r="G47" s="2" t="s">
        <v>21</v>
      </c>
      <c r="H47" s="2">
        <f>IF(C47="Dynasty Autographs",Calculator!$E$4,IF(C47="Debut Day Inscriptions",Calculator!$E$5,IFERROR(VALUE(SUBSTITUTE(F47,"/","")),0)))</f>
        <v>10</v>
      </c>
      <c r="I47" s="2">
        <f t="shared" si="0"/>
        <v>0</v>
      </c>
      <c r="J47" s="2">
        <f t="shared" si="1"/>
        <v>0</v>
      </c>
      <c r="K47" s="2">
        <f t="shared" si="2"/>
        <v>0</v>
      </c>
      <c r="L47" s="2">
        <f t="shared" si="3"/>
        <v>10</v>
      </c>
      <c r="M47" s="2">
        <f t="shared" si="4"/>
        <v>5</v>
      </c>
      <c r="N47" s="2">
        <f t="shared" si="5"/>
        <v>1</v>
      </c>
      <c r="O47" s="2">
        <f t="shared" si="6"/>
        <v>16</v>
      </c>
    </row>
    <row r="48" spans="1:15" ht="29" x14ac:dyDescent="0.35">
      <c r="A48" s="2" t="s">
        <v>122</v>
      </c>
      <c r="B48" s="2" t="s">
        <v>26</v>
      </c>
      <c r="C48" s="2" t="s">
        <v>95</v>
      </c>
      <c r="D48" s="2" t="s">
        <v>96</v>
      </c>
      <c r="E48" s="2" t="s">
        <v>123</v>
      </c>
      <c r="F48" s="2" t="s">
        <v>98</v>
      </c>
      <c r="G48" s="2" t="s">
        <v>21</v>
      </c>
      <c r="H48" s="2">
        <f>IF(C48="Dynasty Autographs",Calculator!$E$4,IF(C48="Debut Day Inscriptions",Calculator!$E$5,IFERROR(VALUE(SUBSTITUTE(F48,"/","")),0)))</f>
        <v>10</v>
      </c>
      <c r="I48" s="2">
        <f t="shared" si="0"/>
        <v>0</v>
      </c>
      <c r="J48" s="2">
        <f t="shared" si="1"/>
        <v>0</v>
      </c>
      <c r="K48" s="2">
        <f t="shared" si="2"/>
        <v>0</v>
      </c>
      <c r="L48" s="2">
        <f t="shared" si="3"/>
        <v>10</v>
      </c>
      <c r="M48" s="2">
        <f t="shared" si="4"/>
        <v>5</v>
      </c>
      <c r="N48" s="2">
        <f t="shared" si="5"/>
        <v>1</v>
      </c>
      <c r="O48" s="2">
        <f t="shared" si="6"/>
        <v>16</v>
      </c>
    </row>
    <row r="49" spans="1:15" ht="29" x14ac:dyDescent="0.35">
      <c r="A49" s="2" t="s">
        <v>124</v>
      </c>
      <c r="B49" s="2" t="s">
        <v>26</v>
      </c>
      <c r="C49" s="2" t="s">
        <v>95</v>
      </c>
      <c r="D49" s="2" t="s">
        <v>96</v>
      </c>
      <c r="E49" s="2" t="s">
        <v>125</v>
      </c>
      <c r="F49" s="2" t="s">
        <v>98</v>
      </c>
      <c r="G49" s="2" t="s">
        <v>21</v>
      </c>
      <c r="H49" s="2">
        <f>IF(C49="Dynasty Autographs",Calculator!$E$4,IF(C49="Debut Day Inscriptions",Calculator!$E$5,IFERROR(VALUE(SUBSTITUTE(F49,"/","")),0)))</f>
        <v>10</v>
      </c>
      <c r="I49" s="2">
        <f t="shared" si="0"/>
        <v>0</v>
      </c>
      <c r="J49" s="2">
        <f t="shared" si="1"/>
        <v>0</v>
      </c>
      <c r="K49" s="2">
        <f t="shared" si="2"/>
        <v>0</v>
      </c>
      <c r="L49" s="2">
        <f t="shared" si="3"/>
        <v>10</v>
      </c>
      <c r="M49" s="2">
        <f t="shared" si="4"/>
        <v>5</v>
      </c>
      <c r="N49" s="2">
        <f t="shared" si="5"/>
        <v>1</v>
      </c>
      <c r="O49" s="2">
        <f t="shared" si="6"/>
        <v>16</v>
      </c>
    </row>
    <row r="50" spans="1:15" ht="29" x14ac:dyDescent="0.35">
      <c r="A50" s="2" t="s">
        <v>126</v>
      </c>
      <c r="B50" s="2" t="s">
        <v>16</v>
      </c>
      <c r="C50" s="2" t="s">
        <v>95</v>
      </c>
      <c r="D50" s="2" t="s">
        <v>96</v>
      </c>
      <c r="E50" s="2" t="s">
        <v>127</v>
      </c>
      <c r="F50" s="2" t="s">
        <v>98</v>
      </c>
      <c r="G50" s="2" t="s">
        <v>21</v>
      </c>
      <c r="H50" s="2">
        <f>IF(C50="Dynasty Autographs",Calculator!$E$4,IF(C50="Debut Day Inscriptions",Calculator!$E$5,IFERROR(VALUE(SUBSTITUTE(F50,"/","")),0)))</f>
        <v>10</v>
      </c>
      <c r="I50" s="2">
        <f t="shared" si="0"/>
        <v>0</v>
      </c>
      <c r="J50" s="2">
        <f t="shared" si="1"/>
        <v>0</v>
      </c>
      <c r="K50" s="2">
        <f t="shared" si="2"/>
        <v>0</v>
      </c>
      <c r="L50" s="2">
        <f t="shared" si="3"/>
        <v>10</v>
      </c>
      <c r="M50" s="2">
        <f t="shared" si="4"/>
        <v>5</v>
      </c>
      <c r="N50" s="2">
        <f t="shared" si="5"/>
        <v>1</v>
      </c>
      <c r="O50" s="2">
        <f t="shared" si="6"/>
        <v>16</v>
      </c>
    </row>
    <row r="51" spans="1:15" ht="29" x14ac:dyDescent="0.35">
      <c r="A51" s="2" t="s">
        <v>128</v>
      </c>
      <c r="B51" s="2" t="s">
        <v>63</v>
      </c>
      <c r="C51" s="2" t="s">
        <v>95</v>
      </c>
      <c r="D51" s="2" t="s">
        <v>96</v>
      </c>
      <c r="E51" s="2" t="s">
        <v>129</v>
      </c>
      <c r="F51" s="2" t="s">
        <v>98</v>
      </c>
      <c r="G51" s="2" t="s">
        <v>21</v>
      </c>
      <c r="H51" s="2">
        <f>IF(C51="Dynasty Autographs",Calculator!$E$4,IF(C51="Debut Day Inscriptions",Calculator!$E$5,IFERROR(VALUE(SUBSTITUTE(F51,"/","")),0)))</f>
        <v>10</v>
      </c>
      <c r="I51" s="2">
        <f t="shared" si="0"/>
        <v>0</v>
      </c>
      <c r="J51" s="2">
        <f t="shared" si="1"/>
        <v>0</v>
      </c>
      <c r="K51" s="2">
        <f t="shared" si="2"/>
        <v>0</v>
      </c>
      <c r="L51" s="2">
        <f t="shared" si="3"/>
        <v>10</v>
      </c>
      <c r="M51" s="2">
        <f t="shared" si="4"/>
        <v>5</v>
      </c>
      <c r="N51" s="2">
        <f t="shared" si="5"/>
        <v>1</v>
      </c>
      <c r="O51" s="2">
        <f t="shared" si="6"/>
        <v>16</v>
      </c>
    </row>
    <row r="52" spans="1:15" ht="29" x14ac:dyDescent="0.35">
      <c r="A52" s="2" t="s">
        <v>130</v>
      </c>
      <c r="B52" s="2" t="s">
        <v>52</v>
      </c>
      <c r="C52" s="2" t="s">
        <v>95</v>
      </c>
      <c r="D52" s="2" t="s">
        <v>96</v>
      </c>
      <c r="E52" s="2" t="s">
        <v>131</v>
      </c>
      <c r="F52" s="2" t="s">
        <v>98</v>
      </c>
      <c r="G52" s="2" t="s">
        <v>21</v>
      </c>
      <c r="H52" s="2">
        <f>IF(C52="Dynasty Autographs",Calculator!$E$4,IF(C52="Debut Day Inscriptions",Calculator!$E$5,IFERROR(VALUE(SUBSTITUTE(F52,"/","")),0)))</f>
        <v>10</v>
      </c>
      <c r="I52" s="2">
        <f t="shared" si="0"/>
        <v>0</v>
      </c>
      <c r="J52" s="2">
        <f t="shared" si="1"/>
        <v>0</v>
      </c>
      <c r="K52" s="2">
        <f t="shared" si="2"/>
        <v>0</v>
      </c>
      <c r="L52" s="2">
        <f t="shared" si="3"/>
        <v>10</v>
      </c>
      <c r="M52" s="2">
        <f t="shared" si="4"/>
        <v>5</v>
      </c>
      <c r="N52" s="2">
        <f t="shared" si="5"/>
        <v>1</v>
      </c>
      <c r="O52" s="2">
        <f t="shared" si="6"/>
        <v>16</v>
      </c>
    </row>
    <row r="53" spans="1:15" ht="29" x14ac:dyDescent="0.35">
      <c r="A53" s="2" t="s">
        <v>132</v>
      </c>
      <c r="B53" s="2" t="s">
        <v>42</v>
      </c>
      <c r="C53" s="2" t="s">
        <v>95</v>
      </c>
      <c r="D53" s="2" t="s">
        <v>96</v>
      </c>
      <c r="E53" s="2" t="s">
        <v>133</v>
      </c>
      <c r="F53" s="2" t="s">
        <v>98</v>
      </c>
      <c r="G53" s="2" t="s">
        <v>21</v>
      </c>
      <c r="H53" s="2">
        <f>IF(C53="Dynasty Autographs",Calculator!$E$4,IF(C53="Debut Day Inscriptions",Calculator!$E$5,IFERROR(VALUE(SUBSTITUTE(F53,"/","")),0)))</f>
        <v>10</v>
      </c>
      <c r="I53" s="2">
        <f t="shared" si="0"/>
        <v>0</v>
      </c>
      <c r="J53" s="2">
        <f t="shared" si="1"/>
        <v>0</v>
      </c>
      <c r="K53" s="2">
        <f t="shared" si="2"/>
        <v>0</v>
      </c>
      <c r="L53" s="2">
        <f t="shared" si="3"/>
        <v>10</v>
      </c>
      <c r="M53" s="2">
        <f t="shared" si="4"/>
        <v>5</v>
      </c>
      <c r="N53" s="2">
        <f t="shared" si="5"/>
        <v>1</v>
      </c>
      <c r="O53" s="2">
        <f t="shared" si="6"/>
        <v>16</v>
      </c>
    </row>
    <row r="54" spans="1:15" ht="29" x14ac:dyDescent="0.35">
      <c r="A54" s="2" t="s">
        <v>134</v>
      </c>
      <c r="B54" s="2" t="s">
        <v>63</v>
      </c>
      <c r="C54" s="2" t="s">
        <v>95</v>
      </c>
      <c r="D54" s="2" t="s">
        <v>96</v>
      </c>
      <c r="E54" s="2" t="s">
        <v>135</v>
      </c>
      <c r="F54" s="2" t="s">
        <v>98</v>
      </c>
      <c r="G54" s="2" t="s">
        <v>21</v>
      </c>
      <c r="H54" s="2">
        <f>IF(C54="Dynasty Autographs",Calculator!$E$4,IF(C54="Debut Day Inscriptions",Calculator!$E$5,IFERROR(VALUE(SUBSTITUTE(F54,"/","")),0)))</f>
        <v>10</v>
      </c>
      <c r="I54" s="2">
        <f t="shared" si="0"/>
        <v>0</v>
      </c>
      <c r="J54" s="2">
        <f t="shared" si="1"/>
        <v>0</v>
      </c>
      <c r="K54" s="2">
        <f t="shared" si="2"/>
        <v>0</v>
      </c>
      <c r="L54" s="2">
        <f t="shared" si="3"/>
        <v>10</v>
      </c>
      <c r="M54" s="2">
        <f t="shared" si="4"/>
        <v>5</v>
      </c>
      <c r="N54" s="2">
        <f t="shared" si="5"/>
        <v>1</v>
      </c>
      <c r="O54" s="2">
        <f t="shared" si="6"/>
        <v>16</v>
      </c>
    </row>
    <row r="55" spans="1:15" ht="29" x14ac:dyDescent="0.35">
      <c r="A55" s="2" t="s">
        <v>58</v>
      </c>
      <c r="B55" s="2" t="s">
        <v>136</v>
      </c>
      <c r="C55" s="2" t="s">
        <v>95</v>
      </c>
      <c r="D55" s="2" t="s">
        <v>96</v>
      </c>
      <c r="E55" s="2" t="s">
        <v>137</v>
      </c>
      <c r="F55" s="2" t="s">
        <v>98</v>
      </c>
      <c r="G55" s="2" t="s">
        <v>21</v>
      </c>
      <c r="H55" s="2">
        <f>IF(C55="Dynasty Autographs",Calculator!$E$4,IF(C55="Debut Day Inscriptions",Calculator!$E$5,IFERROR(VALUE(SUBSTITUTE(F55,"/","")),0)))</f>
        <v>10</v>
      </c>
      <c r="I55" s="2">
        <f t="shared" si="0"/>
        <v>0</v>
      </c>
      <c r="J55" s="2">
        <f t="shared" si="1"/>
        <v>0</v>
      </c>
      <c r="K55" s="2">
        <f t="shared" si="2"/>
        <v>0</v>
      </c>
      <c r="L55" s="2">
        <f t="shared" si="3"/>
        <v>10</v>
      </c>
      <c r="M55" s="2">
        <f t="shared" si="4"/>
        <v>5</v>
      </c>
      <c r="N55" s="2">
        <f t="shared" si="5"/>
        <v>1</v>
      </c>
      <c r="O55" s="2">
        <f t="shared" si="6"/>
        <v>16</v>
      </c>
    </row>
    <row r="56" spans="1:15" ht="29" x14ac:dyDescent="0.35">
      <c r="A56" s="2" t="s">
        <v>138</v>
      </c>
      <c r="B56" s="2" t="s">
        <v>139</v>
      </c>
      <c r="C56" s="2" t="s">
        <v>95</v>
      </c>
      <c r="D56" s="2" t="s">
        <v>96</v>
      </c>
      <c r="E56" s="2" t="s">
        <v>140</v>
      </c>
      <c r="F56" s="2" t="s">
        <v>98</v>
      </c>
      <c r="G56" s="2" t="s">
        <v>21</v>
      </c>
      <c r="H56" s="2">
        <f>IF(C56="Dynasty Autographs",Calculator!$E$4,IF(C56="Debut Day Inscriptions",Calculator!$E$5,IFERROR(VALUE(SUBSTITUTE(F56,"/","")),0)))</f>
        <v>10</v>
      </c>
      <c r="I56" s="2">
        <f t="shared" si="0"/>
        <v>0</v>
      </c>
      <c r="J56" s="2">
        <f t="shared" si="1"/>
        <v>0</v>
      </c>
      <c r="K56" s="2">
        <f t="shared" si="2"/>
        <v>0</v>
      </c>
      <c r="L56" s="2">
        <f t="shared" si="3"/>
        <v>10</v>
      </c>
      <c r="M56" s="2">
        <f t="shared" si="4"/>
        <v>5</v>
      </c>
      <c r="N56" s="2">
        <f t="shared" si="5"/>
        <v>1</v>
      </c>
      <c r="O56" s="2">
        <f t="shared" si="6"/>
        <v>16</v>
      </c>
    </row>
    <row r="57" spans="1:15" ht="29" x14ac:dyDescent="0.35">
      <c r="A57" s="2" t="s">
        <v>141</v>
      </c>
      <c r="B57" s="2" t="s">
        <v>142</v>
      </c>
      <c r="C57" s="2" t="s">
        <v>95</v>
      </c>
      <c r="D57" s="2" t="s">
        <v>96</v>
      </c>
      <c r="E57" s="2" t="s">
        <v>143</v>
      </c>
      <c r="F57" s="2" t="s">
        <v>98</v>
      </c>
      <c r="G57" s="2" t="s">
        <v>21</v>
      </c>
      <c r="H57" s="2">
        <f>IF(C57="Dynasty Autographs",Calculator!$E$4,IF(C57="Debut Day Inscriptions",Calculator!$E$5,IFERROR(VALUE(SUBSTITUTE(F57,"/","")),0)))</f>
        <v>10</v>
      </c>
      <c r="I57" s="2">
        <f t="shared" si="0"/>
        <v>0</v>
      </c>
      <c r="J57" s="2">
        <f t="shared" si="1"/>
        <v>0</v>
      </c>
      <c r="K57" s="2">
        <f t="shared" si="2"/>
        <v>0</v>
      </c>
      <c r="L57" s="2">
        <f t="shared" si="3"/>
        <v>10</v>
      </c>
      <c r="M57" s="2">
        <f t="shared" si="4"/>
        <v>5</v>
      </c>
      <c r="N57" s="2">
        <f t="shared" si="5"/>
        <v>1</v>
      </c>
      <c r="O57" s="2">
        <f t="shared" si="6"/>
        <v>16</v>
      </c>
    </row>
    <row r="58" spans="1:15" ht="29" x14ac:dyDescent="0.35">
      <c r="A58" s="2" t="s">
        <v>144</v>
      </c>
      <c r="B58" s="2" t="s">
        <v>42</v>
      </c>
      <c r="C58" s="2" t="s">
        <v>95</v>
      </c>
      <c r="D58" s="2" t="s">
        <v>96</v>
      </c>
      <c r="E58" s="2" t="s">
        <v>145</v>
      </c>
      <c r="F58" s="2" t="s">
        <v>98</v>
      </c>
      <c r="G58" s="2" t="s">
        <v>21</v>
      </c>
      <c r="H58" s="2">
        <f>IF(C58="Dynasty Autographs",Calculator!$E$4,IF(C58="Debut Day Inscriptions",Calculator!$E$5,IFERROR(VALUE(SUBSTITUTE(F58,"/","")),0)))</f>
        <v>10</v>
      </c>
      <c r="I58" s="2">
        <f t="shared" si="0"/>
        <v>0</v>
      </c>
      <c r="J58" s="2">
        <f t="shared" si="1"/>
        <v>0</v>
      </c>
      <c r="K58" s="2">
        <f t="shared" si="2"/>
        <v>0</v>
      </c>
      <c r="L58" s="2">
        <f t="shared" si="3"/>
        <v>10</v>
      </c>
      <c r="M58" s="2">
        <f t="shared" si="4"/>
        <v>5</v>
      </c>
      <c r="N58" s="2">
        <f t="shared" si="5"/>
        <v>1</v>
      </c>
      <c r="O58" s="2">
        <f t="shared" si="6"/>
        <v>16</v>
      </c>
    </row>
    <row r="59" spans="1:15" ht="29" x14ac:dyDescent="0.35">
      <c r="A59" s="2" t="s">
        <v>62</v>
      </c>
      <c r="B59" s="2" t="s">
        <v>63</v>
      </c>
      <c r="C59" s="2" t="s">
        <v>95</v>
      </c>
      <c r="D59" s="2" t="s">
        <v>96</v>
      </c>
      <c r="E59" s="2" t="s">
        <v>146</v>
      </c>
      <c r="F59" s="2" t="s">
        <v>98</v>
      </c>
      <c r="G59" s="2" t="s">
        <v>21</v>
      </c>
      <c r="H59" s="2">
        <f>IF(C59="Dynasty Autographs",Calculator!$E$4,IF(C59="Debut Day Inscriptions",Calculator!$E$5,IFERROR(VALUE(SUBSTITUTE(F59,"/","")),0)))</f>
        <v>10</v>
      </c>
      <c r="I59" s="2">
        <f t="shared" si="0"/>
        <v>0</v>
      </c>
      <c r="J59" s="2">
        <f t="shared" si="1"/>
        <v>0</v>
      </c>
      <c r="K59" s="2">
        <f t="shared" si="2"/>
        <v>0</v>
      </c>
      <c r="L59" s="2">
        <f t="shared" si="3"/>
        <v>10</v>
      </c>
      <c r="M59" s="2">
        <f t="shared" si="4"/>
        <v>5</v>
      </c>
      <c r="N59" s="2">
        <f t="shared" si="5"/>
        <v>1</v>
      </c>
      <c r="O59" s="2">
        <f t="shared" si="6"/>
        <v>16</v>
      </c>
    </row>
    <row r="60" spans="1:15" ht="29" x14ac:dyDescent="0.35">
      <c r="A60" s="2" t="s">
        <v>65</v>
      </c>
      <c r="B60" s="2" t="s">
        <v>23</v>
      </c>
      <c r="C60" s="2" t="s">
        <v>95</v>
      </c>
      <c r="D60" s="2" t="s">
        <v>96</v>
      </c>
      <c r="E60" s="2" t="s">
        <v>147</v>
      </c>
      <c r="F60" s="2" t="s">
        <v>98</v>
      </c>
      <c r="G60" s="2" t="s">
        <v>21</v>
      </c>
      <c r="H60" s="2">
        <f>IF(C60="Dynasty Autographs",Calculator!$E$4,IF(C60="Debut Day Inscriptions",Calculator!$E$5,IFERROR(VALUE(SUBSTITUTE(F60,"/","")),0)))</f>
        <v>10</v>
      </c>
      <c r="I60" s="2">
        <f t="shared" si="0"/>
        <v>0</v>
      </c>
      <c r="J60" s="2">
        <f t="shared" si="1"/>
        <v>0</v>
      </c>
      <c r="K60" s="2">
        <f t="shared" si="2"/>
        <v>0</v>
      </c>
      <c r="L60" s="2">
        <f t="shared" si="3"/>
        <v>10</v>
      </c>
      <c r="M60" s="2">
        <f t="shared" si="4"/>
        <v>5</v>
      </c>
      <c r="N60" s="2">
        <f t="shared" si="5"/>
        <v>1</v>
      </c>
      <c r="O60" s="2">
        <f t="shared" si="6"/>
        <v>16</v>
      </c>
    </row>
    <row r="61" spans="1:15" x14ac:dyDescent="0.35">
      <c r="A61" s="2" t="s">
        <v>148</v>
      </c>
      <c r="B61" s="2" t="s">
        <v>52</v>
      </c>
      <c r="C61" s="2" t="s">
        <v>149</v>
      </c>
      <c r="D61" s="2" t="s">
        <v>150</v>
      </c>
      <c r="E61" s="2" t="s">
        <v>151</v>
      </c>
      <c r="F61" s="2" t="s">
        <v>20</v>
      </c>
      <c r="G61" s="2" t="s">
        <v>21</v>
      </c>
      <c r="H61" s="2">
        <f>IF(C61="Dynasty Autographs",Calculator!$E$4,IF(C61="Debut Day Inscriptions",Calculator!$E$5,IFERROR(VALUE(SUBSTITUTE(F61,"/","")),0)))</f>
        <v>10</v>
      </c>
      <c r="I61" s="2">
        <f t="shared" si="0"/>
        <v>0</v>
      </c>
      <c r="J61" s="2">
        <f t="shared" si="1"/>
        <v>0</v>
      </c>
      <c r="K61" s="2">
        <f t="shared" si="2"/>
        <v>0</v>
      </c>
      <c r="L61" s="2">
        <f t="shared" si="3"/>
        <v>10</v>
      </c>
      <c r="M61" s="2">
        <f t="shared" si="4"/>
        <v>5</v>
      </c>
      <c r="N61" s="2">
        <f t="shared" si="5"/>
        <v>1</v>
      </c>
      <c r="O61" s="2">
        <f t="shared" si="6"/>
        <v>16</v>
      </c>
    </row>
    <row r="62" spans="1:15" x14ac:dyDescent="0.35">
      <c r="A62" s="2" t="s">
        <v>152</v>
      </c>
      <c r="B62" s="2" t="s">
        <v>52</v>
      </c>
      <c r="C62" s="2" t="s">
        <v>149</v>
      </c>
      <c r="D62" s="2" t="s">
        <v>150</v>
      </c>
      <c r="E62" s="2" t="s">
        <v>153</v>
      </c>
      <c r="F62" s="2" t="s">
        <v>20</v>
      </c>
      <c r="G62" s="2" t="s">
        <v>21</v>
      </c>
      <c r="H62" s="2">
        <f>IF(C62="Dynasty Autographs",Calculator!$E$4,IF(C62="Debut Day Inscriptions",Calculator!$E$5,IFERROR(VALUE(SUBSTITUTE(F62,"/","")),0)))</f>
        <v>10</v>
      </c>
      <c r="I62" s="2">
        <f t="shared" si="0"/>
        <v>0</v>
      </c>
      <c r="J62" s="2">
        <f t="shared" si="1"/>
        <v>0</v>
      </c>
      <c r="K62" s="2">
        <f t="shared" si="2"/>
        <v>0</v>
      </c>
      <c r="L62" s="2">
        <f t="shared" si="3"/>
        <v>10</v>
      </c>
      <c r="M62" s="2">
        <f t="shared" si="4"/>
        <v>5</v>
      </c>
      <c r="N62" s="2">
        <f t="shared" si="5"/>
        <v>1</v>
      </c>
      <c r="O62" s="2">
        <f t="shared" si="6"/>
        <v>16</v>
      </c>
    </row>
    <row r="63" spans="1:15" x14ac:dyDescent="0.35">
      <c r="A63" s="2" t="s">
        <v>154</v>
      </c>
      <c r="B63" s="2" t="s">
        <v>42</v>
      </c>
      <c r="C63" s="2" t="s">
        <v>149</v>
      </c>
      <c r="D63" s="2" t="s">
        <v>155</v>
      </c>
      <c r="E63" s="2" t="s">
        <v>156</v>
      </c>
      <c r="F63" s="2" t="s">
        <v>20</v>
      </c>
      <c r="G63" s="2" t="s">
        <v>21</v>
      </c>
      <c r="H63" s="2">
        <f>IF(C63="Dynasty Autographs",Calculator!$E$4,IF(C63="Debut Day Inscriptions",Calculator!$E$5,IFERROR(VALUE(SUBSTITUTE(F63,"/","")),0)))</f>
        <v>10</v>
      </c>
      <c r="I63" s="2">
        <f t="shared" si="0"/>
        <v>0</v>
      </c>
      <c r="J63" s="2">
        <f t="shared" si="1"/>
        <v>0</v>
      </c>
      <c r="K63" s="2">
        <f t="shared" si="2"/>
        <v>0</v>
      </c>
      <c r="L63" s="2">
        <f t="shared" si="3"/>
        <v>10</v>
      </c>
      <c r="M63" s="2">
        <f t="shared" si="4"/>
        <v>5</v>
      </c>
      <c r="N63" s="2">
        <f t="shared" si="5"/>
        <v>1</v>
      </c>
      <c r="O63" s="2">
        <f t="shared" si="6"/>
        <v>16</v>
      </c>
    </row>
    <row r="64" spans="1:15" x14ac:dyDescent="0.35">
      <c r="A64" s="2" t="s">
        <v>157</v>
      </c>
      <c r="B64" s="2" t="s">
        <v>71</v>
      </c>
      <c r="C64" s="2" t="s">
        <v>149</v>
      </c>
      <c r="D64" s="2" t="s">
        <v>155</v>
      </c>
      <c r="E64" s="2" t="s">
        <v>158</v>
      </c>
      <c r="F64" s="2" t="s">
        <v>20</v>
      </c>
      <c r="G64" s="2" t="s">
        <v>21</v>
      </c>
      <c r="H64" s="2">
        <f>IF(C64="Dynasty Autographs",Calculator!$E$4,IF(C64="Debut Day Inscriptions",Calculator!$E$5,IFERROR(VALUE(SUBSTITUTE(F64,"/","")),0)))</f>
        <v>10</v>
      </c>
      <c r="I64" s="2">
        <f t="shared" si="0"/>
        <v>0</v>
      </c>
      <c r="J64" s="2">
        <f t="shared" si="1"/>
        <v>0</v>
      </c>
      <c r="K64" s="2">
        <f t="shared" si="2"/>
        <v>0</v>
      </c>
      <c r="L64" s="2">
        <f t="shared" si="3"/>
        <v>10</v>
      </c>
      <c r="M64" s="2">
        <f t="shared" si="4"/>
        <v>5</v>
      </c>
      <c r="N64" s="2">
        <f t="shared" si="5"/>
        <v>1</v>
      </c>
      <c r="O64" s="2">
        <f t="shared" si="6"/>
        <v>16</v>
      </c>
    </row>
    <row r="65" spans="1:15" x14ac:dyDescent="0.35">
      <c r="A65" s="2" t="s">
        <v>159</v>
      </c>
      <c r="B65" s="2" t="s">
        <v>26</v>
      </c>
      <c r="C65" s="2" t="s">
        <v>149</v>
      </c>
      <c r="D65" s="2" t="s">
        <v>155</v>
      </c>
      <c r="E65" s="2" t="s">
        <v>160</v>
      </c>
      <c r="F65" s="2" t="s">
        <v>20</v>
      </c>
      <c r="G65" s="2" t="s">
        <v>21</v>
      </c>
      <c r="H65" s="2">
        <f>IF(C65="Dynasty Autographs",Calculator!$E$4,IF(C65="Debut Day Inscriptions",Calculator!$E$5,IFERROR(VALUE(SUBSTITUTE(F65,"/","")),0)))</f>
        <v>10</v>
      </c>
      <c r="I65" s="2">
        <f t="shared" si="0"/>
        <v>0</v>
      </c>
      <c r="J65" s="2">
        <f t="shared" si="1"/>
        <v>0</v>
      </c>
      <c r="K65" s="2">
        <f t="shared" si="2"/>
        <v>0</v>
      </c>
      <c r="L65" s="2">
        <f t="shared" si="3"/>
        <v>10</v>
      </c>
      <c r="M65" s="2">
        <f t="shared" si="4"/>
        <v>5</v>
      </c>
      <c r="N65" s="2">
        <f t="shared" si="5"/>
        <v>1</v>
      </c>
      <c r="O65" s="2">
        <f t="shared" si="6"/>
        <v>16</v>
      </c>
    </row>
    <row r="66" spans="1:15" ht="29" x14ac:dyDescent="0.35">
      <c r="A66" s="2" t="s">
        <v>161</v>
      </c>
      <c r="B66" s="2" t="s">
        <v>47</v>
      </c>
      <c r="C66" s="2" t="s">
        <v>149</v>
      </c>
      <c r="D66" s="2" t="s">
        <v>155</v>
      </c>
      <c r="E66" s="2" t="s">
        <v>162</v>
      </c>
      <c r="F66" s="2" t="s">
        <v>20</v>
      </c>
      <c r="G66" s="2" t="s">
        <v>21</v>
      </c>
      <c r="H66" s="2">
        <f>IF(C66="Dynasty Autographs",Calculator!$E$4,IF(C66="Debut Day Inscriptions",Calculator!$E$5,IFERROR(VALUE(SUBSTITUTE(F66,"/","")),0)))</f>
        <v>10</v>
      </c>
      <c r="I66" s="2">
        <f t="shared" ref="I66:I129" si="7">IF(H66=99,99,IF(ISNUMBER(SEARCH("/99",G66)),99,0))</f>
        <v>0</v>
      </c>
      <c r="J66" s="2">
        <f t="shared" ref="J66:J129" si="8">IF(H66=50,50,IF(ISNUMBER(SEARCH("/50",G66)),50,0))</f>
        <v>0</v>
      </c>
      <c r="K66" s="2">
        <f t="shared" ref="K66:K129" si="9">IF(H66=25,25,IF(ISNUMBER(SEARCH("/25",G66)),25,0))</f>
        <v>0</v>
      </c>
      <c r="L66" s="2">
        <f t="shared" ref="L66:L129" si="10">IF(H66=10,10,IF(ISNUMBER(SEARCH("/10",G66)),10,0))</f>
        <v>10</v>
      </c>
      <c r="M66" s="2">
        <f t="shared" ref="M66:M129" si="11">IF(H66=5,5,IF(ISNUMBER(SEARCH("/5",G66)),5,0))</f>
        <v>5</v>
      </c>
      <c r="N66" s="2">
        <f t="shared" ref="N66:N129" si="12">IF(H66=1,1,IF(ISNUMBER(SEARCH("1/1",G66)),1,0))</f>
        <v>1</v>
      </c>
      <c r="O66" s="2">
        <f t="shared" ref="O66:O129" si="13">SUM(I66:N66)</f>
        <v>16</v>
      </c>
    </row>
    <row r="67" spans="1:15" x14ac:dyDescent="0.35">
      <c r="A67" s="2" t="s">
        <v>22</v>
      </c>
      <c r="B67" s="2" t="s">
        <v>23</v>
      </c>
      <c r="C67" s="2" t="s">
        <v>163</v>
      </c>
      <c r="D67" s="2" t="s">
        <v>164</v>
      </c>
      <c r="E67" s="2" t="s">
        <v>165</v>
      </c>
      <c r="F67" s="2" t="s">
        <v>20</v>
      </c>
      <c r="G67" s="2" t="s">
        <v>21</v>
      </c>
      <c r="H67" s="2">
        <f>IF(C67="Dynasty Autographs",Calculator!$E$4,IF(C67="Debut Day Inscriptions",Calculator!$E$5,IFERROR(VALUE(SUBSTITUTE(F67,"/","")),0)))</f>
        <v>10</v>
      </c>
      <c r="I67" s="2">
        <f t="shared" si="7"/>
        <v>0</v>
      </c>
      <c r="J67" s="2">
        <f t="shared" si="8"/>
        <v>0</v>
      </c>
      <c r="K67" s="2">
        <f t="shared" si="9"/>
        <v>0</v>
      </c>
      <c r="L67" s="2">
        <f t="shared" si="10"/>
        <v>10</v>
      </c>
      <c r="M67" s="2">
        <f t="shared" si="11"/>
        <v>5</v>
      </c>
      <c r="N67" s="2">
        <f t="shared" si="12"/>
        <v>1</v>
      </c>
      <c r="O67" s="2">
        <f t="shared" si="13"/>
        <v>16</v>
      </c>
    </row>
    <row r="68" spans="1:15" x14ac:dyDescent="0.35">
      <c r="A68" s="2" t="s">
        <v>22</v>
      </c>
      <c r="B68" s="2" t="s">
        <v>23</v>
      </c>
      <c r="C68" s="2" t="s">
        <v>163</v>
      </c>
      <c r="D68" s="2" t="s">
        <v>164</v>
      </c>
      <c r="E68" s="2" t="s">
        <v>166</v>
      </c>
      <c r="F68" s="2" t="s">
        <v>20</v>
      </c>
      <c r="G68" s="2" t="s">
        <v>21</v>
      </c>
      <c r="H68" s="2">
        <f>IF(C68="Dynasty Autographs",Calculator!$E$4,IF(C68="Debut Day Inscriptions",Calculator!$E$5,IFERROR(VALUE(SUBSTITUTE(F68,"/","")),0)))</f>
        <v>10</v>
      </c>
      <c r="I68" s="2">
        <f t="shared" si="7"/>
        <v>0</v>
      </c>
      <c r="J68" s="2">
        <f t="shared" si="8"/>
        <v>0</v>
      </c>
      <c r="K68" s="2">
        <f t="shared" si="9"/>
        <v>0</v>
      </c>
      <c r="L68" s="2">
        <f t="shared" si="10"/>
        <v>10</v>
      </c>
      <c r="M68" s="2">
        <f t="shared" si="11"/>
        <v>5</v>
      </c>
      <c r="N68" s="2">
        <f t="shared" si="12"/>
        <v>1</v>
      </c>
      <c r="O68" s="2">
        <f t="shared" si="13"/>
        <v>16</v>
      </c>
    </row>
    <row r="69" spans="1:15" x14ac:dyDescent="0.35">
      <c r="A69" s="2" t="s">
        <v>22</v>
      </c>
      <c r="B69" s="2" t="s">
        <v>23</v>
      </c>
      <c r="C69" s="2" t="s">
        <v>163</v>
      </c>
      <c r="D69" s="2" t="s">
        <v>164</v>
      </c>
      <c r="E69" s="2" t="s">
        <v>167</v>
      </c>
      <c r="F69" s="2" t="s">
        <v>20</v>
      </c>
      <c r="G69" s="2" t="s">
        <v>21</v>
      </c>
      <c r="H69" s="2">
        <f>IF(C69="Dynasty Autographs",Calculator!$E$4,IF(C69="Debut Day Inscriptions",Calculator!$E$5,IFERROR(VALUE(SUBSTITUTE(F69,"/","")),0)))</f>
        <v>10</v>
      </c>
      <c r="I69" s="2">
        <f t="shared" si="7"/>
        <v>0</v>
      </c>
      <c r="J69" s="2">
        <f t="shared" si="8"/>
        <v>0</v>
      </c>
      <c r="K69" s="2">
        <f t="shared" si="9"/>
        <v>0</v>
      </c>
      <c r="L69" s="2">
        <f t="shared" si="10"/>
        <v>10</v>
      </c>
      <c r="M69" s="2">
        <f t="shared" si="11"/>
        <v>5</v>
      </c>
      <c r="N69" s="2">
        <f t="shared" si="12"/>
        <v>1</v>
      </c>
      <c r="O69" s="2">
        <f t="shared" si="13"/>
        <v>16</v>
      </c>
    </row>
    <row r="70" spans="1:15" x14ac:dyDescent="0.35">
      <c r="A70" s="2" t="s">
        <v>22</v>
      </c>
      <c r="B70" s="2" t="s">
        <v>23</v>
      </c>
      <c r="C70" s="2" t="s">
        <v>163</v>
      </c>
      <c r="D70" s="2" t="s">
        <v>164</v>
      </c>
      <c r="E70" s="2" t="s">
        <v>168</v>
      </c>
      <c r="F70" s="2" t="s">
        <v>20</v>
      </c>
      <c r="G70" s="2" t="s">
        <v>21</v>
      </c>
      <c r="H70" s="2">
        <f>IF(C70="Dynasty Autographs",Calculator!$E$4,IF(C70="Debut Day Inscriptions",Calculator!$E$5,IFERROR(VALUE(SUBSTITUTE(F70,"/","")),0)))</f>
        <v>10</v>
      </c>
      <c r="I70" s="2">
        <f t="shared" si="7"/>
        <v>0</v>
      </c>
      <c r="J70" s="2">
        <f t="shared" si="8"/>
        <v>0</v>
      </c>
      <c r="K70" s="2">
        <f t="shared" si="9"/>
        <v>0</v>
      </c>
      <c r="L70" s="2">
        <f t="shared" si="10"/>
        <v>10</v>
      </c>
      <c r="M70" s="2">
        <f t="shared" si="11"/>
        <v>5</v>
      </c>
      <c r="N70" s="2">
        <f t="shared" si="12"/>
        <v>1</v>
      </c>
      <c r="O70" s="2">
        <f t="shared" si="13"/>
        <v>16</v>
      </c>
    </row>
    <row r="71" spans="1:15" x14ac:dyDescent="0.35">
      <c r="A71" s="2" t="s">
        <v>22</v>
      </c>
      <c r="B71" s="2" t="s">
        <v>23</v>
      </c>
      <c r="C71" s="2" t="s">
        <v>163</v>
      </c>
      <c r="D71" s="2" t="s">
        <v>164</v>
      </c>
      <c r="E71" s="2" t="s">
        <v>169</v>
      </c>
      <c r="F71" s="2" t="s">
        <v>20</v>
      </c>
      <c r="G71" s="2" t="s">
        <v>21</v>
      </c>
      <c r="H71" s="2">
        <f>IF(C71="Dynasty Autographs",Calculator!$E$4,IF(C71="Debut Day Inscriptions",Calculator!$E$5,IFERROR(VALUE(SUBSTITUTE(F71,"/","")),0)))</f>
        <v>10</v>
      </c>
      <c r="I71" s="2">
        <f t="shared" si="7"/>
        <v>0</v>
      </c>
      <c r="J71" s="2">
        <f t="shared" si="8"/>
        <v>0</v>
      </c>
      <c r="K71" s="2">
        <f t="shared" si="9"/>
        <v>0</v>
      </c>
      <c r="L71" s="2">
        <f t="shared" si="10"/>
        <v>10</v>
      </c>
      <c r="M71" s="2">
        <f t="shared" si="11"/>
        <v>5</v>
      </c>
      <c r="N71" s="2">
        <f t="shared" si="12"/>
        <v>1</v>
      </c>
      <c r="O71" s="2">
        <f t="shared" si="13"/>
        <v>16</v>
      </c>
    </row>
    <row r="72" spans="1:15" x14ac:dyDescent="0.35">
      <c r="A72" s="2" t="s">
        <v>22</v>
      </c>
      <c r="B72" s="2" t="s">
        <v>23</v>
      </c>
      <c r="C72" s="2" t="s">
        <v>163</v>
      </c>
      <c r="D72" s="2" t="s">
        <v>164</v>
      </c>
      <c r="E72" s="2" t="s">
        <v>170</v>
      </c>
      <c r="F72" s="2" t="s">
        <v>20</v>
      </c>
      <c r="G72" s="2" t="s">
        <v>21</v>
      </c>
      <c r="H72" s="2">
        <f>IF(C72="Dynasty Autographs",Calculator!$E$4,IF(C72="Debut Day Inscriptions",Calculator!$E$5,IFERROR(VALUE(SUBSTITUTE(F72,"/","")),0)))</f>
        <v>10</v>
      </c>
      <c r="I72" s="2">
        <f t="shared" si="7"/>
        <v>0</v>
      </c>
      <c r="J72" s="2">
        <f t="shared" si="8"/>
        <v>0</v>
      </c>
      <c r="K72" s="2">
        <f t="shared" si="9"/>
        <v>0</v>
      </c>
      <c r="L72" s="2">
        <f t="shared" si="10"/>
        <v>10</v>
      </c>
      <c r="M72" s="2">
        <f t="shared" si="11"/>
        <v>5</v>
      </c>
      <c r="N72" s="2">
        <f t="shared" si="12"/>
        <v>1</v>
      </c>
      <c r="O72" s="2">
        <f t="shared" si="13"/>
        <v>16</v>
      </c>
    </row>
    <row r="73" spans="1:15" x14ac:dyDescent="0.35">
      <c r="A73" s="2" t="s">
        <v>22</v>
      </c>
      <c r="B73" s="2" t="s">
        <v>23</v>
      </c>
      <c r="C73" s="2" t="s">
        <v>163</v>
      </c>
      <c r="D73" s="2" t="s">
        <v>164</v>
      </c>
      <c r="E73" s="2" t="s">
        <v>171</v>
      </c>
      <c r="F73" s="2" t="s">
        <v>20</v>
      </c>
      <c r="G73" s="2" t="s">
        <v>21</v>
      </c>
      <c r="H73" s="2">
        <f>IF(C73="Dynasty Autographs",Calculator!$E$4,IF(C73="Debut Day Inscriptions",Calculator!$E$5,IFERROR(VALUE(SUBSTITUTE(F73,"/","")),0)))</f>
        <v>10</v>
      </c>
      <c r="I73" s="2">
        <f t="shared" si="7"/>
        <v>0</v>
      </c>
      <c r="J73" s="2">
        <f t="shared" si="8"/>
        <v>0</v>
      </c>
      <c r="K73" s="2">
        <f t="shared" si="9"/>
        <v>0</v>
      </c>
      <c r="L73" s="2">
        <f t="shared" si="10"/>
        <v>10</v>
      </c>
      <c r="M73" s="2">
        <f t="shared" si="11"/>
        <v>5</v>
      </c>
      <c r="N73" s="2">
        <f t="shared" si="12"/>
        <v>1</v>
      </c>
      <c r="O73" s="2">
        <f t="shared" si="13"/>
        <v>16</v>
      </c>
    </row>
    <row r="74" spans="1:15" x14ac:dyDescent="0.35">
      <c r="A74" s="2" t="s">
        <v>172</v>
      </c>
      <c r="B74" s="2" t="s">
        <v>52</v>
      </c>
      <c r="C74" s="2" t="s">
        <v>163</v>
      </c>
      <c r="D74" s="2" t="s">
        <v>164</v>
      </c>
      <c r="E74" s="2" t="s">
        <v>173</v>
      </c>
      <c r="F74" s="2" t="s">
        <v>20</v>
      </c>
      <c r="G74" s="2" t="s">
        <v>21</v>
      </c>
      <c r="H74" s="2">
        <f>IF(C74="Dynasty Autographs",Calculator!$E$4,IF(C74="Debut Day Inscriptions",Calculator!$E$5,IFERROR(VALUE(SUBSTITUTE(F74,"/","")),0)))</f>
        <v>10</v>
      </c>
      <c r="I74" s="2">
        <f t="shared" si="7"/>
        <v>0</v>
      </c>
      <c r="J74" s="2">
        <f t="shared" si="8"/>
        <v>0</v>
      </c>
      <c r="K74" s="2">
        <f t="shared" si="9"/>
        <v>0</v>
      </c>
      <c r="L74" s="2">
        <f t="shared" si="10"/>
        <v>10</v>
      </c>
      <c r="M74" s="2">
        <f t="shared" si="11"/>
        <v>5</v>
      </c>
      <c r="N74" s="2">
        <f t="shared" si="12"/>
        <v>1</v>
      </c>
      <c r="O74" s="2">
        <f t="shared" si="13"/>
        <v>16</v>
      </c>
    </row>
    <row r="75" spans="1:15" x14ac:dyDescent="0.35">
      <c r="A75" s="2" t="s">
        <v>172</v>
      </c>
      <c r="B75" s="2" t="s">
        <v>52</v>
      </c>
      <c r="C75" s="2" t="s">
        <v>163</v>
      </c>
      <c r="D75" s="2" t="s">
        <v>164</v>
      </c>
      <c r="E75" s="2" t="s">
        <v>174</v>
      </c>
      <c r="F75" s="2" t="s">
        <v>20</v>
      </c>
      <c r="G75" s="2" t="s">
        <v>21</v>
      </c>
      <c r="H75" s="2">
        <f>IF(C75="Dynasty Autographs",Calculator!$E$4,IF(C75="Debut Day Inscriptions",Calculator!$E$5,IFERROR(VALUE(SUBSTITUTE(F75,"/","")),0)))</f>
        <v>10</v>
      </c>
      <c r="I75" s="2">
        <f t="shared" si="7"/>
        <v>0</v>
      </c>
      <c r="J75" s="2">
        <f t="shared" si="8"/>
        <v>0</v>
      </c>
      <c r="K75" s="2">
        <f t="shared" si="9"/>
        <v>0</v>
      </c>
      <c r="L75" s="2">
        <f t="shared" si="10"/>
        <v>10</v>
      </c>
      <c r="M75" s="2">
        <f t="shared" si="11"/>
        <v>5</v>
      </c>
      <c r="N75" s="2">
        <f t="shared" si="12"/>
        <v>1</v>
      </c>
      <c r="O75" s="2">
        <f t="shared" si="13"/>
        <v>16</v>
      </c>
    </row>
    <row r="76" spans="1:15" x14ac:dyDescent="0.35">
      <c r="A76" s="2" t="s">
        <v>172</v>
      </c>
      <c r="B76" s="2" t="s">
        <v>52</v>
      </c>
      <c r="C76" s="2" t="s">
        <v>163</v>
      </c>
      <c r="D76" s="2" t="s">
        <v>164</v>
      </c>
      <c r="E76" s="2" t="s">
        <v>175</v>
      </c>
      <c r="F76" s="2" t="s">
        <v>20</v>
      </c>
      <c r="G76" s="2" t="s">
        <v>21</v>
      </c>
      <c r="H76" s="2">
        <f>IF(C76="Dynasty Autographs",Calculator!$E$4,IF(C76="Debut Day Inscriptions",Calculator!$E$5,IFERROR(VALUE(SUBSTITUTE(F76,"/","")),0)))</f>
        <v>10</v>
      </c>
      <c r="I76" s="2">
        <f t="shared" si="7"/>
        <v>0</v>
      </c>
      <c r="J76" s="2">
        <f t="shared" si="8"/>
        <v>0</v>
      </c>
      <c r="K76" s="2">
        <f t="shared" si="9"/>
        <v>0</v>
      </c>
      <c r="L76" s="2">
        <f t="shared" si="10"/>
        <v>10</v>
      </c>
      <c r="M76" s="2">
        <f t="shared" si="11"/>
        <v>5</v>
      </c>
      <c r="N76" s="2">
        <f t="shared" si="12"/>
        <v>1</v>
      </c>
      <c r="O76" s="2">
        <f t="shared" si="13"/>
        <v>16</v>
      </c>
    </row>
    <row r="77" spans="1:15" x14ac:dyDescent="0.35">
      <c r="A77" s="2" t="s">
        <v>172</v>
      </c>
      <c r="B77" s="2" t="s">
        <v>52</v>
      </c>
      <c r="C77" s="2" t="s">
        <v>163</v>
      </c>
      <c r="D77" s="2" t="s">
        <v>164</v>
      </c>
      <c r="E77" s="2" t="s">
        <v>176</v>
      </c>
      <c r="F77" s="2" t="s">
        <v>20</v>
      </c>
      <c r="G77" s="2" t="s">
        <v>21</v>
      </c>
      <c r="H77" s="2">
        <f>IF(C77="Dynasty Autographs",Calculator!$E$4,IF(C77="Debut Day Inscriptions",Calculator!$E$5,IFERROR(VALUE(SUBSTITUTE(F77,"/","")),0)))</f>
        <v>10</v>
      </c>
      <c r="I77" s="2">
        <f t="shared" si="7"/>
        <v>0</v>
      </c>
      <c r="J77" s="2">
        <f t="shared" si="8"/>
        <v>0</v>
      </c>
      <c r="K77" s="2">
        <f t="shared" si="9"/>
        <v>0</v>
      </c>
      <c r="L77" s="2">
        <f t="shared" si="10"/>
        <v>10</v>
      </c>
      <c r="M77" s="2">
        <f t="shared" si="11"/>
        <v>5</v>
      </c>
      <c r="N77" s="2">
        <f t="shared" si="12"/>
        <v>1</v>
      </c>
      <c r="O77" s="2">
        <f t="shared" si="13"/>
        <v>16</v>
      </c>
    </row>
    <row r="78" spans="1:15" x14ac:dyDescent="0.35">
      <c r="A78" s="2" t="s">
        <v>177</v>
      </c>
      <c r="B78" s="2" t="s">
        <v>16</v>
      </c>
      <c r="C78" s="2" t="s">
        <v>163</v>
      </c>
      <c r="D78" s="2" t="s">
        <v>164</v>
      </c>
      <c r="E78" s="2" t="s">
        <v>178</v>
      </c>
      <c r="F78" s="2" t="s">
        <v>20</v>
      </c>
      <c r="G78" s="2" t="s">
        <v>21</v>
      </c>
      <c r="H78" s="2">
        <f>IF(C78="Dynasty Autographs",Calculator!$E$4,IF(C78="Debut Day Inscriptions",Calculator!$E$5,IFERROR(VALUE(SUBSTITUTE(F78,"/","")),0)))</f>
        <v>10</v>
      </c>
      <c r="I78" s="2">
        <f t="shared" si="7"/>
        <v>0</v>
      </c>
      <c r="J78" s="2">
        <f t="shared" si="8"/>
        <v>0</v>
      </c>
      <c r="K78" s="2">
        <f t="shared" si="9"/>
        <v>0</v>
      </c>
      <c r="L78" s="2">
        <f t="shared" si="10"/>
        <v>10</v>
      </c>
      <c r="M78" s="2">
        <f t="shared" si="11"/>
        <v>5</v>
      </c>
      <c r="N78" s="2">
        <f t="shared" si="12"/>
        <v>1</v>
      </c>
      <c r="O78" s="2">
        <f t="shared" si="13"/>
        <v>16</v>
      </c>
    </row>
    <row r="79" spans="1:15" x14ac:dyDescent="0.35">
      <c r="A79" s="2" t="s">
        <v>177</v>
      </c>
      <c r="B79" s="2" t="s">
        <v>16</v>
      </c>
      <c r="C79" s="2" t="s">
        <v>163</v>
      </c>
      <c r="D79" s="2" t="s">
        <v>164</v>
      </c>
      <c r="E79" s="2" t="s">
        <v>179</v>
      </c>
      <c r="F79" s="2" t="s">
        <v>20</v>
      </c>
      <c r="G79" s="2" t="s">
        <v>21</v>
      </c>
      <c r="H79" s="2">
        <f>IF(C79="Dynasty Autographs",Calculator!$E$4,IF(C79="Debut Day Inscriptions",Calculator!$E$5,IFERROR(VALUE(SUBSTITUTE(F79,"/","")),0)))</f>
        <v>10</v>
      </c>
      <c r="I79" s="2">
        <f t="shared" si="7"/>
        <v>0</v>
      </c>
      <c r="J79" s="2">
        <f t="shared" si="8"/>
        <v>0</v>
      </c>
      <c r="K79" s="2">
        <f t="shared" si="9"/>
        <v>0</v>
      </c>
      <c r="L79" s="2">
        <f t="shared" si="10"/>
        <v>10</v>
      </c>
      <c r="M79" s="2">
        <f t="shared" si="11"/>
        <v>5</v>
      </c>
      <c r="N79" s="2">
        <f t="shared" si="12"/>
        <v>1</v>
      </c>
      <c r="O79" s="2">
        <f t="shared" si="13"/>
        <v>16</v>
      </c>
    </row>
    <row r="80" spans="1:15" x14ac:dyDescent="0.35">
      <c r="A80" s="2" t="s">
        <v>177</v>
      </c>
      <c r="B80" s="2" t="s">
        <v>16</v>
      </c>
      <c r="C80" s="2" t="s">
        <v>163</v>
      </c>
      <c r="D80" s="2" t="s">
        <v>164</v>
      </c>
      <c r="E80" s="2" t="s">
        <v>180</v>
      </c>
      <c r="F80" s="2" t="s">
        <v>20</v>
      </c>
      <c r="G80" s="2" t="s">
        <v>21</v>
      </c>
      <c r="H80" s="2">
        <f>IF(C80="Dynasty Autographs",Calculator!$E$4,IF(C80="Debut Day Inscriptions",Calculator!$E$5,IFERROR(VALUE(SUBSTITUTE(F80,"/","")),0)))</f>
        <v>10</v>
      </c>
      <c r="I80" s="2">
        <f t="shared" si="7"/>
        <v>0</v>
      </c>
      <c r="J80" s="2">
        <f t="shared" si="8"/>
        <v>0</v>
      </c>
      <c r="K80" s="2">
        <f t="shared" si="9"/>
        <v>0</v>
      </c>
      <c r="L80" s="2">
        <f t="shared" si="10"/>
        <v>10</v>
      </c>
      <c r="M80" s="2">
        <f t="shared" si="11"/>
        <v>5</v>
      </c>
      <c r="N80" s="2">
        <f t="shared" si="12"/>
        <v>1</v>
      </c>
      <c r="O80" s="2">
        <f t="shared" si="13"/>
        <v>16</v>
      </c>
    </row>
    <row r="81" spans="1:15" x14ac:dyDescent="0.35">
      <c r="A81" s="2" t="s">
        <v>25</v>
      </c>
      <c r="B81" s="2" t="s">
        <v>26</v>
      </c>
      <c r="C81" s="2" t="s">
        <v>163</v>
      </c>
      <c r="D81" s="2" t="s">
        <v>164</v>
      </c>
      <c r="E81" s="2" t="s">
        <v>181</v>
      </c>
      <c r="F81" s="2" t="s">
        <v>20</v>
      </c>
      <c r="G81" s="2" t="s">
        <v>21</v>
      </c>
      <c r="H81" s="2">
        <f>IF(C81="Dynasty Autographs",Calculator!$E$4,IF(C81="Debut Day Inscriptions",Calculator!$E$5,IFERROR(VALUE(SUBSTITUTE(F81,"/","")),0)))</f>
        <v>10</v>
      </c>
      <c r="I81" s="2">
        <f t="shared" si="7"/>
        <v>0</v>
      </c>
      <c r="J81" s="2">
        <f t="shared" si="8"/>
        <v>0</v>
      </c>
      <c r="K81" s="2">
        <f t="shared" si="9"/>
        <v>0</v>
      </c>
      <c r="L81" s="2">
        <f t="shared" si="10"/>
        <v>10</v>
      </c>
      <c r="M81" s="2">
        <f t="shared" si="11"/>
        <v>5</v>
      </c>
      <c r="N81" s="2">
        <f t="shared" si="12"/>
        <v>1</v>
      </c>
      <c r="O81" s="2">
        <f t="shared" si="13"/>
        <v>16</v>
      </c>
    </row>
    <row r="82" spans="1:15" x14ac:dyDescent="0.35">
      <c r="A82" s="2" t="s">
        <v>25</v>
      </c>
      <c r="B82" s="2" t="s">
        <v>26</v>
      </c>
      <c r="C82" s="2" t="s">
        <v>163</v>
      </c>
      <c r="D82" s="2" t="s">
        <v>164</v>
      </c>
      <c r="E82" s="2" t="s">
        <v>182</v>
      </c>
      <c r="F82" s="2" t="s">
        <v>20</v>
      </c>
      <c r="G82" s="2" t="s">
        <v>21</v>
      </c>
      <c r="H82" s="2">
        <f>IF(C82="Dynasty Autographs",Calculator!$E$4,IF(C82="Debut Day Inscriptions",Calculator!$E$5,IFERROR(VALUE(SUBSTITUTE(F82,"/","")),0)))</f>
        <v>10</v>
      </c>
      <c r="I82" s="2">
        <f t="shared" si="7"/>
        <v>0</v>
      </c>
      <c r="J82" s="2">
        <f t="shared" si="8"/>
        <v>0</v>
      </c>
      <c r="K82" s="2">
        <f t="shared" si="9"/>
        <v>0</v>
      </c>
      <c r="L82" s="2">
        <f t="shared" si="10"/>
        <v>10</v>
      </c>
      <c r="M82" s="2">
        <f t="shared" si="11"/>
        <v>5</v>
      </c>
      <c r="N82" s="2">
        <f t="shared" si="12"/>
        <v>1</v>
      </c>
      <c r="O82" s="2">
        <f t="shared" si="13"/>
        <v>16</v>
      </c>
    </row>
    <row r="83" spans="1:15" x14ac:dyDescent="0.35">
      <c r="A83" s="2" t="s">
        <v>25</v>
      </c>
      <c r="B83" s="2" t="s">
        <v>26</v>
      </c>
      <c r="C83" s="2" t="s">
        <v>163</v>
      </c>
      <c r="D83" s="2" t="s">
        <v>164</v>
      </c>
      <c r="E83" s="2" t="s">
        <v>183</v>
      </c>
      <c r="F83" s="2" t="s">
        <v>20</v>
      </c>
      <c r="G83" s="2" t="s">
        <v>21</v>
      </c>
      <c r="H83" s="2">
        <f>IF(C83="Dynasty Autographs",Calculator!$E$4,IF(C83="Debut Day Inscriptions",Calculator!$E$5,IFERROR(VALUE(SUBSTITUTE(F83,"/","")),0)))</f>
        <v>10</v>
      </c>
      <c r="I83" s="2">
        <f t="shared" si="7"/>
        <v>0</v>
      </c>
      <c r="J83" s="2">
        <f t="shared" si="8"/>
        <v>0</v>
      </c>
      <c r="K83" s="2">
        <f t="shared" si="9"/>
        <v>0</v>
      </c>
      <c r="L83" s="2">
        <f t="shared" si="10"/>
        <v>10</v>
      </c>
      <c r="M83" s="2">
        <f t="shared" si="11"/>
        <v>5</v>
      </c>
      <c r="N83" s="2">
        <f t="shared" si="12"/>
        <v>1</v>
      </c>
      <c r="O83" s="2">
        <f t="shared" si="13"/>
        <v>16</v>
      </c>
    </row>
    <row r="84" spans="1:15" x14ac:dyDescent="0.35">
      <c r="A84" s="2" t="s">
        <v>25</v>
      </c>
      <c r="B84" s="2" t="s">
        <v>26</v>
      </c>
      <c r="C84" s="2" t="s">
        <v>163</v>
      </c>
      <c r="D84" s="2" t="s">
        <v>164</v>
      </c>
      <c r="E84" s="2" t="s">
        <v>184</v>
      </c>
      <c r="F84" s="2" t="s">
        <v>20</v>
      </c>
      <c r="G84" s="2" t="s">
        <v>21</v>
      </c>
      <c r="H84" s="2">
        <f>IF(C84="Dynasty Autographs",Calculator!$E$4,IF(C84="Debut Day Inscriptions",Calculator!$E$5,IFERROR(VALUE(SUBSTITUTE(F84,"/","")),0)))</f>
        <v>10</v>
      </c>
      <c r="I84" s="2">
        <f t="shared" si="7"/>
        <v>0</v>
      </c>
      <c r="J84" s="2">
        <f t="shared" si="8"/>
        <v>0</v>
      </c>
      <c r="K84" s="2">
        <f t="shared" si="9"/>
        <v>0</v>
      </c>
      <c r="L84" s="2">
        <f t="shared" si="10"/>
        <v>10</v>
      </c>
      <c r="M84" s="2">
        <f t="shared" si="11"/>
        <v>5</v>
      </c>
      <c r="N84" s="2">
        <f t="shared" si="12"/>
        <v>1</v>
      </c>
      <c r="O84" s="2">
        <f t="shared" si="13"/>
        <v>16</v>
      </c>
    </row>
    <row r="85" spans="1:15" x14ac:dyDescent="0.35">
      <c r="A85" s="2" t="s">
        <v>28</v>
      </c>
      <c r="B85" s="2" t="s">
        <v>23</v>
      </c>
      <c r="C85" s="2" t="s">
        <v>163</v>
      </c>
      <c r="D85" s="2" t="s">
        <v>164</v>
      </c>
      <c r="E85" s="2" t="s">
        <v>185</v>
      </c>
      <c r="F85" s="2" t="s">
        <v>20</v>
      </c>
      <c r="G85" s="2" t="s">
        <v>21</v>
      </c>
      <c r="H85" s="2">
        <f>IF(C85="Dynasty Autographs",Calculator!$E$4,IF(C85="Debut Day Inscriptions",Calculator!$E$5,IFERROR(VALUE(SUBSTITUTE(F85,"/","")),0)))</f>
        <v>10</v>
      </c>
      <c r="I85" s="2">
        <f t="shared" si="7"/>
        <v>0</v>
      </c>
      <c r="J85" s="2">
        <f t="shared" si="8"/>
        <v>0</v>
      </c>
      <c r="K85" s="2">
        <f t="shared" si="9"/>
        <v>0</v>
      </c>
      <c r="L85" s="2">
        <f t="shared" si="10"/>
        <v>10</v>
      </c>
      <c r="M85" s="2">
        <f t="shared" si="11"/>
        <v>5</v>
      </c>
      <c r="N85" s="2">
        <f t="shared" si="12"/>
        <v>1</v>
      </c>
      <c r="O85" s="2">
        <f t="shared" si="13"/>
        <v>16</v>
      </c>
    </row>
    <row r="86" spans="1:15" x14ac:dyDescent="0.35">
      <c r="A86" s="2" t="s">
        <v>32</v>
      </c>
      <c r="B86" s="2" t="s">
        <v>33</v>
      </c>
      <c r="C86" s="2" t="s">
        <v>163</v>
      </c>
      <c r="D86" s="2" t="s">
        <v>164</v>
      </c>
      <c r="E86" s="2" t="s">
        <v>186</v>
      </c>
      <c r="F86" s="2" t="s">
        <v>20</v>
      </c>
      <c r="G86" s="2" t="s">
        <v>21</v>
      </c>
      <c r="H86" s="2">
        <f>IF(C86="Dynasty Autographs",Calculator!$E$4,IF(C86="Debut Day Inscriptions",Calculator!$E$5,IFERROR(VALUE(SUBSTITUTE(F86,"/","")),0)))</f>
        <v>10</v>
      </c>
      <c r="I86" s="2">
        <f t="shared" si="7"/>
        <v>0</v>
      </c>
      <c r="J86" s="2">
        <f t="shared" si="8"/>
        <v>0</v>
      </c>
      <c r="K86" s="2">
        <f t="shared" si="9"/>
        <v>0</v>
      </c>
      <c r="L86" s="2">
        <f t="shared" si="10"/>
        <v>10</v>
      </c>
      <c r="M86" s="2">
        <f t="shared" si="11"/>
        <v>5</v>
      </c>
      <c r="N86" s="2">
        <f t="shared" si="12"/>
        <v>1</v>
      </c>
      <c r="O86" s="2">
        <f t="shared" si="13"/>
        <v>16</v>
      </c>
    </row>
    <row r="87" spans="1:15" x14ac:dyDescent="0.35">
      <c r="A87" s="2" t="s">
        <v>32</v>
      </c>
      <c r="B87" s="2" t="s">
        <v>33</v>
      </c>
      <c r="C87" s="2" t="s">
        <v>163</v>
      </c>
      <c r="D87" s="2" t="s">
        <v>164</v>
      </c>
      <c r="E87" s="2" t="s">
        <v>187</v>
      </c>
      <c r="F87" s="2" t="s">
        <v>20</v>
      </c>
      <c r="G87" s="2" t="s">
        <v>21</v>
      </c>
      <c r="H87" s="2">
        <f>IF(C87="Dynasty Autographs",Calculator!$E$4,IF(C87="Debut Day Inscriptions",Calculator!$E$5,IFERROR(VALUE(SUBSTITUTE(F87,"/","")),0)))</f>
        <v>10</v>
      </c>
      <c r="I87" s="2">
        <f t="shared" si="7"/>
        <v>0</v>
      </c>
      <c r="J87" s="2">
        <f t="shared" si="8"/>
        <v>0</v>
      </c>
      <c r="K87" s="2">
        <f t="shared" si="9"/>
        <v>0</v>
      </c>
      <c r="L87" s="2">
        <f t="shared" si="10"/>
        <v>10</v>
      </c>
      <c r="M87" s="2">
        <f t="shared" si="11"/>
        <v>5</v>
      </c>
      <c r="N87" s="2">
        <f t="shared" si="12"/>
        <v>1</v>
      </c>
      <c r="O87" s="2">
        <f t="shared" si="13"/>
        <v>16</v>
      </c>
    </row>
    <row r="88" spans="1:15" x14ac:dyDescent="0.35">
      <c r="A88" s="2" t="s">
        <v>32</v>
      </c>
      <c r="B88" s="2" t="s">
        <v>33</v>
      </c>
      <c r="C88" s="2" t="s">
        <v>163</v>
      </c>
      <c r="D88" s="2" t="s">
        <v>164</v>
      </c>
      <c r="E88" s="2" t="s">
        <v>188</v>
      </c>
      <c r="F88" s="2" t="s">
        <v>20</v>
      </c>
      <c r="G88" s="2" t="s">
        <v>21</v>
      </c>
      <c r="H88" s="2">
        <f>IF(C88="Dynasty Autographs",Calculator!$E$4,IF(C88="Debut Day Inscriptions",Calculator!$E$5,IFERROR(VALUE(SUBSTITUTE(F88,"/","")),0)))</f>
        <v>10</v>
      </c>
      <c r="I88" s="2">
        <f t="shared" si="7"/>
        <v>0</v>
      </c>
      <c r="J88" s="2">
        <f t="shared" si="8"/>
        <v>0</v>
      </c>
      <c r="K88" s="2">
        <f t="shared" si="9"/>
        <v>0</v>
      </c>
      <c r="L88" s="2">
        <f t="shared" si="10"/>
        <v>10</v>
      </c>
      <c r="M88" s="2">
        <f t="shared" si="11"/>
        <v>5</v>
      </c>
      <c r="N88" s="2">
        <f t="shared" si="12"/>
        <v>1</v>
      </c>
      <c r="O88" s="2">
        <f t="shared" si="13"/>
        <v>16</v>
      </c>
    </row>
    <row r="89" spans="1:15" x14ac:dyDescent="0.35">
      <c r="A89" s="2" t="s">
        <v>35</v>
      </c>
      <c r="B89" s="2" t="s">
        <v>36</v>
      </c>
      <c r="C89" s="2" t="s">
        <v>163</v>
      </c>
      <c r="D89" s="2" t="s">
        <v>164</v>
      </c>
      <c r="E89" s="2" t="s">
        <v>189</v>
      </c>
      <c r="F89" s="2" t="s">
        <v>20</v>
      </c>
      <c r="G89" s="2" t="s">
        <v>21</v>
      </c>
      <c r="H89" s="2">
        <f>IF(C89="Dynasty Autographs",Calculator!$E$4,IF(C89="Debut Day Inscriptions",Calculator!$E$5,IFERROR(VALUE(SUBSTITUTE(F89,"/","")),0)))</f>
        <v>10</v>
      </c>
      <c r="I89" s="2">
        <f t="shared" si="7"/>
        <v>0</v>
      </c>
      <c r="J89" s="2">
        <f t="shared" si="8"/>
        <v>0</v>
      </c>
      <c r="K89" s="2">
        <f t="shared" si="9"/>
        <v>0</v>
      </c>
      <c r="L89" s="2">
        <f t="shared" si="10"/>
        <v>10</v>
      </c>
      <c r="M89" s="2">
        <f t="shared" si="11"/>
        <v>5</v>
      </c>
      <c r="N89" s="2">
        <f t="shared" si="12"/>
        <v>1</v>
      </c>
      <c r="O89" s="2">
        <f t="shared" si="13"/>
        <v>16</v>
      </c>
    </row>
    <row r="90" spans="1:15" x14ac:dyDescent="0.35">
      <c r="A90" s="2" t="s">
        <v>35</v>
      </c>
      <c r="B90" s="2" t="s">
        <v>36</v>
      </c>
      <c r="C90" s="2" t="s">
        <v>163</v>
      </c>
      <c r="D90" s="2" t="s">
        <v>164</v>
      </c>
      <c r="E90" s="2" t="s">
        <v>190</v>
      </c>
      <c r="F90" s="2" t="s">
        <v>20</v>
      </c>
      <c r="G90" s="2" t="s">
        <v>21</v>
      </c>
      <c r="H90" s="2">
        <f>IF(C90="Dynasty Autographs",Calculator!$E$4,IF(C90="Debut Day Inscriptions",Calculator!$E$5,IFERROR(VALUE(SUBSTITUTE(F90,"/","")),0)))</f>
        <v>10</v>
      </c>
      <c r="I90" s="2">
        <f t="shared" si="7"/>
        <v>0</v>
      </c>
      <c r="J90" s="2">
        <f t="shared" si="8"/>
        <v>0</v>
      </c>
      <c r="K90" s="2">
        <f t="shared" si="9"/>
        <v>0</v>
      </c>
      <c r="L90" s="2">
        <f t="shared" si="10"/>
        <v>10</v>
      </c>
      <c r="M90" s="2">
        <f t="shared" si="11"/>
        <v>5</v>
      </c>
      <c r="N90" s="2">
        <f t="shared" si="12"/>
        <v>1</v>
      </c>
      <c r="O90" s="2">
        <f t="shared" si="13"/>
        <v>16</v>
      </c>
    </row>
    <row r="91" spans="1:15" x14ac:dyDescent="0.35">
      <c r="A91" s="2" t="s">
        <v>35</v>
      </c>
      <c r="B91" s="2" t="s">
        <v>36</v>
      </c>
      <c r="C91" s="2" t="s">
        <v>163</v>
      </c>
      <c r="D91" s="2" t="s">
        <v>164</v>
      </c>
      <c r="E91" s="2" t="s">
        <v>191</v>
      </c>
      <c r="F91" s="2" t="s">
        <v>20</v>
      </c>
      <c r="G91" s="2" t="s">
        <v>21</v>
      </c>
      <c r="H91" s="2">
        <f>IF(C91="Dynasty Autographs",Calculator!$E$4,IF(C91="Debut Day Inscriptions",Calculator!$E$5,IFERROR(VALUE(SUBSTITUTE(F91,"/","")),0)))</f>
        <v>10</v>
      </c>
      <c r="I91" s="2">
        <f t="shared" si="7"/>
        <v>0</v>
      </c>
      <c r="J91" s="2">
        <f t="shared" si="8"/>
        <v>0</v>
      </c>
      <c r="K91" s="2">
        <f t="shared" si="9"/>
        <v>0</v>
      </c>
      <c r="L91" s="2">
        <f t="shared" si="10"/>
        <v>10</v>
      </c>
      <c r="M91" s="2">
        <f t="shared" si="11"/>
        <v>5</v>
      </c>
      <c r="N91" s="2">
        <f t="shared" si="12"/>
        <v>1</v>
      </c>
      <c r="O91" s="2">
        <f t="shared" si="13"/>
        <v>16</v>
      </c>
    </row>
    <row r="92" spans="1:15" x14ac:dyDescent="0.35">
      <c r="A92" s="2" t="s">
        <v>35</v>
      </c>
      <c r="B92" s="2" t="s">
        <v>36</v>
      </c>
      <c r="C92" s="2" t="s">
        <v>163</v>
      </c>
      <c r="D92" s="2" t="s">
        <v>164</v>
      </c>
      <c r="E92" s="2" t="s">
        <v>192</v>
      </c>
      <c r="F92" s="2" t="s">
        <v>20</v>
      </c>
      <c r="G92" s="2" t="s">
        <v>21</v>
      </c>
      <c r="H92" s="2">
        <f>IF(C92="Dynasty Autographs",Calculator!$E$4,IF(C92="Debut Day Inscriptions",Calculator!$E$5,IFERROR(VALUE(SUBSTITUTE(F92,"/","")),0)))</f>
        <v>10</v>
      </c>
      <c r="I92" s="2">
        <f t="shared" si="7"/>
        <v>0</v>
      </c>
      <c r="J92" s="2">
        <f t="shared" si="8"/>
        <v>0</v>
      </c>
      <c r="K92" s="2">
        <f t="shared" si="9"/>
        <v>0</v>
      </c>
      <c r="L92" s="2">
        <f t="shared" si="10"/>
        <v>10</v>
      </c>
      <c r="M92" s="2">
        <f t="shared" si="11"/>
        <v>5</v>
      </c>
      <c r="N92" s="2">
        <f t="shared" si="12"/>
        <v>1</v>
      </c>
      <c r="O92" s="2">
        <f t="shared" si="13"/>
        <v>16</v>
      </c>
    </row>
    <row r="93" spans="1:15" x14ac:dyDescent="0.35">
      <c r="A93" s="2" t="s">
        <v>30</v>
      </c>
      <c r="B93" s="2" t="s">
        <v>16</v>
      </c>
      <c r="C93" s="2" t="s">
        <v>163</v>
      </c>
      <c r="D93" s="2" t="s">
        <v>164</v>
      </c>
      <c r="E93" s="2" t="s">
        <v>193</v>
      </c>
      <c r="F93" s="2" t="s">
        <v>20</v>
      </c>
      <c r="G93" s="2" t="s">
        <v>21</v>
      </c>
      <c r="H93" s="2">
        <f>IF(C93="Dynasty Autographs",Calculator!$E$4,IF(C93="Debut Day Inscriptions",Calculator!$E$5,IFERROR(VALUE(SUBSTITUTE(F93,"/","")),0)))</f>
        <v>10</v>
      </c>
      <c r="I93" s="2">
        <f t="shared" si="7"/>
        <v>0</v>
      </c>
      <c r="J93" s="2">
        <f t="shared" si="8"/>
        <v>0</v>
      </c>
      <c r="K93" s="2">
        <f t="shared" si="9"/>
        <v>0</v>
      </c>
      <c r="L93" s="2">
        <f t="shared" si="10"/>
        <v>10</v>
      </c>
      <c r="M93" s="2">
        <f t="shared" si="11"/>
        <v>5</v>
      </c>
      <c r="N93" s="2">
        <f t="shared" si="12"/>
        <v>1</v>
      </c>
      <c r="O93" s="2">
        <f t="shared" si="13"/>
        <v>16</v>
      </c>
    </row>
    <row r="94" spans="1:15" x14ac:dyDescent="0.35">
      <c r="A94" s="2" t="s">
        <v>30</v>
      </c>
      <c r="B94" s="2" t="s">
        <v>16</v>
      </c>
      <c r="C94" s="2" t="s">
        <v>163</v>
      </c>
      <c r="D94" s="2" t="s">
        <v>164</v>
      </c>
      <c r="E94" s="2" t="s">
        <v>194</v>
      </c>
      <c r="F94" s="2" t="s">
        <v>20</v>
      </c>
      <c r="G94" s="2" t="s">
        <v>21</v>
      </c>
      <c r="H94" s="2">
        <f>IF(C94="Dynasty Autographs",Calculator!$E$4,IF(C94="Debut Day Inscriptions",Calculator!$E$5,IFERROR(VALUE(SUBSTITUTE(F94,"/","")),0)))</f>
        <v>10</v>
      </c>
      <c r="I94" s="2">
        <f t="shared" si="7"/>
        <v>0</v>
      </c>
      <c r="J94" s="2">
        <f t="shared" si="8"/>
        <v>0</v>
      </c>
      <c r="K94" s="2">
        <f t="shared" si="9"/>
        <v>0</v>
      </c>
      <c r="L94" s="2">
        <f t="shared" si="10"/>
        <v>10</v>
      </c>
      <c r="M94" s="2">
        <f t="shared" si="11"/>
        <v>5</v>
      </c>
      <c r="N94" s="2">
        <f t="shared" si="12"/>
        <v>1</v>
      </c>
      <c r="O94" s="2">
        <f t="shared" si="13"/>
        <v>16</v>
      </c>
    </row>
    <row r="95" spans="1:15" x14ac:dyDescent="0.35">
      <c r="A95" s="2" t="s">
        <v>30</v>
      </c>
      <c r="B95" s="2" t="s">
        <v>16</v>
      </c>
      <c r="C95" s="2" t="s">
        <v>163</v>
      </c>
      <c r="D95" s="2" t="s">
        <v>164</v>
      </c>
      <c r="E95" s="2" t="s">
        <v>195</v>
      </c>
      <c r="F95" s="2" t="s">
        <v>20</v>
      </c>
      <c r="G95" s="2" t="s">
        <v>21</v>
      </c>
      <c r="H95" s="2">
        <f>IF(C95="Dynasty Autographs",Calculator!$E$4,IF(C95="Debut Day Inscriptions",Calculator!$E$5,IFERROR(VALUE(SUBSTITUTE(F95,"/","")),0)))</f>
        <v>10</v>
      </c>
      <c r="I95" s="2">
        <f t="shared" si="7"/>
        <v>0</v>
      </c>
      <c r="J95" s="2">
        <f t="shared" si="8"/>
        <v>0</v>
      </c>
      <c r="K95" s="2">
        <f t="shared" si="9"/>
        <v>0</v>
      </c>
      <c r="L95" s="2">
        <f t="shared" si="10"/>
        <v>10</v>
      </c>
      <c r="M95" s="2">
        <f t="shared" si="11"/>
        <v>5</v>
      </c>
      <c r="N95" s="2">
        <f t="shared" si="12"/>
        <v>1</v>
      </c>
      <c r="O95" s="2">
        <f t="shared" si="13"/>
        <v>16</v>
      </c>
    </row>
    <row r="96" spans="1:15" x14ac:dyDescent="0.35">
      <c r="A96" s="2" t="s">
        <v>196</v>
      </c>
      <c r="B96" s="2" t="s">
        <v>139</v>
      </c>
      <c r="C96" s="2" t="s">
        <v>163</v>
      </c>
      <c r="D96" s="2" t="s">
        <v>164</v>
      </c>
      <c r="E96" s="2" t="s">
        <v>197</v>
      </c>
      <c r="F96" s="2" t="s">
        <v>20</v>
      </c>
      <c r="G96" s="2" t="s">
        <v>21</v>
      </c>
      <c r="H96" s="2">
        <f>IF(C96="Dynasty Autographs",Calculator!$E$4,IF(C96="Debut Day Inscriptions",Calculator!$E$5,IFERROR(VALUE(SUBSTITUTE(F96,"/","")),0)))</f>
        <v>10</v>
      </c>
      <c r="I96" s="2">
        <f t="shared" si="7"/>
        <v>0</v>
      </c>
      <c r="J96" s="2">
        <f t="shared" si="8"/>
        <v>0</v>
      </c>
      <c r="K96" s="2">
        <f t="shared" si="9"/>
        <v>0</v>
      </c>
      <c r="L96" s="2">
        <f t="shared" si="10"/>
        <v>10</v>
      </c>
      <c r="M96" s="2">
        <f t="shared" si="11"/>
        <v>5</v>
      </c>
      <c r="N96" s="2">
        <f t="shared" si="12"/>
        <v>1</v>
      </c>
      <c r="O96" s="2">
        <f t="shared" si="13"/>
        <v>16</v>
      </c>
    </row>
    <row r="97" spans="1:15" x14ac:dyDescent="0.35">
      <c r="A97" s="2" t="s">
        <v>196</v>
      </c>
      <c r="B97" s="2" t="s">
        <v>139</v>
      </c>
      <c r="C97" s="2" t="s">
        <v>163</v>
      </c>
      <c r="D97" s="2" t="s">
        <v>164</v>
      </c>
      <c r="E97" s="2" t="s">
        <v>198</v>
      </c>
      <c r="F97" s="2" t="s">
        <v>20</v>
      </c>
      <c r="G97" s="2" t="s">
        <v>21</v>
      </c>
      <c r="H97" s="2">
        <f>IF(C97="Dynasty Autographs",Calculator!$E$4,IF(C97="Debut Day Inscriptions",Calculator!$E$5,IFERROR(VALUE(SUBSTITUTE(F97,"/","")),0)))</f>
        <v>10</v>
      </c>
      <c r="I97" s="2">
        <f t="shared" si="7"/>
        <v>0</v>
      </c>
      <c r="J97" s="2">
        <f t="shared" si="8"/>
        <v>0</v>
      </c>
      <c r="K97" s="2">
        <f t="shared" si="9"/>
        <v>0</v>
      </c>
      <c r="L97" s="2">
        <f t="shared" si="10"/>
        <v>10</v>
      </c>
      <c r="M97" s="2">
        <f t="shared" si="11"/>
        <v>5</v>
      </c>
      <c r="N97" s="2">
        <f t="shared" si="12"/>
        <v>1</v>
      </c>
      <c r="O97" s="2">
        <f t="shared" si="13"/>
        <v>16</v>
      </c>
    </row>
    <row r="98" spans="1:15" x14ac:dyDescent="0.35">
      <c r="A98" s="2" t="s">
        <v>196</v>
      </c>
      <c r="B98" s="2" t="s">
        <v>139</v>
      </c>
      <c r="C98" s="2" t="s">
        <v>163</v>
      </c>
      <c r="D98" s="2" t="s">
        <v>164</v>
      </c>
      <c r="E98" s="2" t="s">
        <v>199</v>
      </c>
      <c r="F98" s="2" t="s">
        <v>20</v>
      </c>
      <c r="G98" s="2" t="s">
        <v>21</v>
      </c>
      <c r="H98" s="2">
        <f>IF(C98="Dynasty Autographs",Calculator!$E$4,IF(C98="Debut Day Inscriptions",Calculator!$E$5,IFERROR(VALUE(SUBSTITUTE(F98,"/","")),0)))</f>
        <v>10</v>
      </c>
      <c r="I98" s="2">
        <f t="shared" si="7"/>
        <v>0</v>
      </c>
      <c r="J98" s="2">
        <f t="shared" si="8"/>
        <v>0</v>
      </c>
      <c r="K98" s="2">
        <f t="shared" si="9"/>
        <v>0</v>
      </c>
      <c r="L98" s="2">
        <f t="shared" si="10"/>
        <v>10</v>
      </c>
      <c r="M98" s="2">
        <f t="shared" si="11"/>
        <v>5</v>
      </c>
      <c r="N98" s="2">
        <f t="shared" si="12"/>
        <v>1</v>
      </c>
      <c r="O98" s="2">
        <f t="shared" si="13"/>
        <v>16</v>
      </c>
    </row>
    <row r="99" spans="1:15" x14ac:dyDescent="0.35">
      <c r="A99" s="2" t="s">
        <v>41</v>
      </c>
      <c r="B99" s="2" t="s">
        <v>42</v>
      </c>
      <c r="C99" s="2" t="s">
        <v>163</v>
      </c>
      <c r="D99" s="2" t="s">
        <v>164</v>
      </c>
      <c r="E99" s="2" t="s">
        <v>200</v>
      </c>
      <c r="F99" s="2" t="s">
        <v>20</v>
      </c>
      <c r="G99" s="2" t="s">
        <v>21</v>
      </c>
      <c r="H99" s="2">
        <f>IF(C99="Dynasty Autographs",Calculator!$E$4,IF(C99="Debut Day Inscriptions",Calculator!$E$5,IFERROR(VALUE(SUBSTITUTE(F99,"/","")),0)))</f>
        <v>10</v>
      </c>
      <c r="I99" s="2">
        <f t="shared" si="7"/>
        <v>0</v>
      </c>
      <c r="J99" s="2">
        <f t="shared" si="8"/>
        <v>0</v>
      </c>
      <c r="K99" s="2">
        <f t="shared" si="9"/>
        <v>0</v>
      </c>
      <c r="L99" s="2">
        <f t="shared" si="10"/>
        <v>10</v>
      </c>
      <c r="M99" s="2">
        <f t="shared" si="11"/>
        <v>5</v>
      </c>
      <c r="N99" s="2">
        <f t="shared" si="12"/>
        <v>1</v>
      </c>
      <c r="O99" s="2">
        <f t="shared" si="13"/>
        <v>16</v>
      </c>
    </row>
    <row r="100" spans="1:15" x14ac:dyDescent="0.35">
      <c r="A100" s="2" t="s">
        <v>41</v>
      </c>
      <c r="B100" s="2" t="s">
        <v>42</v>
      </c>
      <c r="C100" s="2" t="s">
        <v>163</v>
      </c>
      <c r="D100" s="2" t="s">
        <v>164</v>
      </c>
      <c r="E100" s="2" t="s">
        <v>201</v>
      </c>
      <c r="F100" s="2" t="s">
        <v>20</v>
      </c>
      <c r="G100" s="2" t="s">
        <v>21</v>
      </c>
      <c r="H100" s="2">
        <f>IF(C100="Dynasty Autographs",Calculator!$E$4,IF(C100="Debut Day Inscriptions",Calculator!$E$5,IFERROR(VALUE(SUBSTITUTE(F100,"/","")),0)))</f>
        <v>10</v>
      </c>
      <c r="I100" s="2">
        <f t="shared" si="7"/>
        <v>0</v>
      </c>
      <c r="J100" s="2">
        <f t="shared" si="8"/>
        <v>0</v>
      </c>
      <c r="K100" s="2">
        <f t="shared" si="9"/>
        <v>0</v>
      </c>
      <c r="L100" s="2">
        <f t="shared" si="10"/>
        <v>10</v>
      </c>
      <c r="M100" s="2">
        <f t="shared" si="11"/>
        <v>5</v>
      </c>
      <c r="N100" s="2">
        <f t="shared" si="12"/>
        <v>1</v>
      </c>
      <c r="O100" s="2">
        <f t="shared" si="13"/>
        <v>16</v>
      </c>
    </row>
    <row r="101" spans="1:15" x14ac:dyDescent="0.35">
      <c r="A101" s="2" t="s">
        <v>41</v>
      </c>
      <c r="B101" s="2" t="s">
        <v>42</v>
      </c>
      <c r="C101" s="2" t="s">
        <v>163</v>
      </c>
      <c r="D101" s="2" t="s">
        <v>164</v>
      </c>
      <c r="E101" s="2" t="s">
        <v>202</v>
      </c>
      <c r="F101" s="2" t="s">
        <v>20</v>
      </c>
      <c r="G101" s="2" t="s">
        <v>21</v>
      </c>
      <c r="H101" s="2">
        <f>IF(C101="Dynasty Autographs",Calculator!$E$4,IF(C101="Debut Day Inscriptions",Calculator!$E$5,IFERROR(VALUE(SUBSTITUTE(F101,"/","")),0)))</f>
        <v>10</v>
      </c>
      <c r="I101" s="2">
        <f t="shared" si="7"/>
        <v>0</v>
      </c>
      <c r="J101" s="2">
        <f t="shared" si="8"/>
        <v>0</v>
      </c>
      <c r="K101" s="2">
        <f t="shared" si="9"/>
        <v>0</v>
      </c>
      <c r="L101" s="2">
        <f t="shared" si="10"/>
        <v>10</v>
      </c>
      <c r="M101" s="2">
        <f t="shared" si="11"/>
        <v>5</v>
      </c>
      <c r="N101" s="2">
        <f t="shared" si="12"/>
        <v>1</v>
      </c>
      <c r="O101" s="2">
        <f t="shared" si="13"/>
        <v>16</v>
      </c>
    </row>
    <row r="102" spans="1:15" x14ac:dyDescent="0.35">
      <c r="A102" s="2" t="s">
        <v>41</v>
      </c>
      <c r="B102" s="2" t="s">
        <v>42</v>
      </c>
      <c r="C102" s="2" t="s">
        <v>163</v>
      </c>
      <c r="D102" s="2" t="s">
        <v>164</v>
      </c>
      <c r="E102" s="2" t="s">
        <v>203</v>
      </c>
      <c r="F102" s="2" t="s">
        <v>20</v>
      </c>
      <c r="G102" s="2" t="s">
        <v>21</v>
      </c>
      <c r="H102" s="2">
        <f>IF(C102="Dynasty Autographs",Calculator!$E$4,IF(C102="Debut Day Inscriptions",Calculator!$E$5,IFERROR(VALUE(SUBSTITUTE(F102,"/","")),0)))</f>
        <v>10</v>
      </c>
      <c r="I102" s="2">
        <f t="shared" si="7"/>
        <v>0</v>
      </c>
      <c r="J102" s="2">
        <f t="shared" si="8"/>
        <v>0</v>
      </c>
      <c r="K102" s="2">
        <f t="shared" si="9"/>
        <v>0</v>
      </c>
      <c r="L102" s="2">
        <f t="shared" si="10"/>
        <v>10</v>
      </c>
      <c r="M102" s="2">
        <f t="shared" si="11"/>
        <v>5</v>
      </c>
      <c r="N102" s="2">
        <f t="shared" si="12"/>
        <v>1</v>
      </c>
      <c r="O102" s="2">
        <f t="shared" si="13"/>
        <v>16</v>
      </c>
    </row>
    <row r="103" spans="1:15" x14ac:dyDescent="0.35">
      <c r="A103" s="2" t="s">
        <v>41</v>
      </c>
      <c r="B103" s="2" t="s">
        <v>42</v>
      </c>
      <c r="C103" s="2" t="s">
        <v>163</v>
      </c>
      <c r="D103" s="2" t="s">
        <v>164</v>
      </c>
      <c r="E103" s="2" t="s">
        <v>204</v>
      </c>
      <c r="F103" s="2" t="s">
        <v>20</v>
      </c>
      <c r="G103" s="2" t="s">
        <v>21</v>
      </c>
      <c r="H103" s="2">
        <f>IF(C103="Dynasty Autographs",Calculator!$E$4,IF(C103="Debut Day Inscriptions",Calculator!$E$5,IFERROR(VALUE(SUBSTITUTE(F103,"/","")),0)))</f>
        <v>10</v>
      </c>
      <c r="I103" s="2">
        <f t="shared" si="7"/>
        <v>0</v>
      </c>
      <c r="J103" s="2">
        <f t="shared" si="8"/>
        <v>0</v>
      </c>
      <c r="K103" s="2">
        <f t="shared" si="9"/>
        <v>0</v>
      </c>
      <c r="L103" s="2">
        <f t="shared" si="10"/>
        <v>10</v>
      </c>
      <c r="M103" s="2">
        <f t="shared" si="11"/>
        <v>5</v>
      </c>
      <c r="N103" s="2">
        <f t="shared" si="12"/>
        <v>1</v>
      </c>
      <c r="O103" s="2">
        <f t="shared" si="13"/>
        <v>16</v>
      </c>
    </row>
    <row r="104" spans="1:15" x14ac:dyDescent="0.35">
      <c r="A104" s="2" t="s">
        <v>41</v>
      </c>
      <c r="B104" s="2" t="s">
        <v>42</v>
      </c>
      <c r="C104" s="2" t="s">
        <v>163</v>
      </c>
      <c r="D104" s="2" t="s">
        <v>164</v>
      </c>
      <c r="E104" s="2" t="s">
        <v>205</v>
      </c>
      <c r="F104" s="2" t="s">
        <v>20</v>
      </c>
      <c r="G104" s="2" t="s">
        <v>21</v>
      </c>
      <c r="H104" s="2">
        <f>IF(C104="Dynasty Autographs",Calculator!$E$4,IF(C104="Debut Day Inscriptions",Calculator!$E$5,IFERROR(VALUE(SUBSTITUTE(F104,"/","")),0)))</f>
        <v>10</v>
      </c>
      <c r="I104" s="2">
        <f t="shared" si="7"/>
        <v>0</v>
      </c>
      <c r="J104" s="2">
        <f t="shared" si="8"/>
        <v>0</v>
      </c>
      <c r="K104" s="2">
        <f t="shared" si="9"/>
        <v>0</v>
      </c>
      <c r="L104" s="2">
        <f t="shared" si="10"/>
        <v>10</v>
      </c>
      <c r="M104" s="2">
        <f t="shared" si="11"/>
        <v>5</v>
      </c>
      <c r="N104" s="2">
        <f t="shared" si="12"/>
        <v>1</v>
      </c>
      <c r="O104" s="2">
        <f t="shared" si="13"/>
        <v>16</v>
      </c>
    </row>
    <row r="105" spans="1:15" x14ac:dyDescent="0.35">
      <c r="A105" s="2" t="s">
        <v>44</v>
      </c>
      <c r="B105" s="2" t="s">
        <v>23</v>
      </c>
      <c r="C105" s="2" t="s">
        <v>163</v>
      </c>
      <c r="D105" s="2" t="s">
        <v>164</v>
      </c>
      <c r="E105" s="2" t="s">
        <v>206</v>
      </c>
      <c r="F105" s="2" t="s">
        <v>20</v>
      </c>
      <c r="G105" s="2" t="s">
        <v>21</v>
      </c>
      <c r="H105" s="2">
        <f>IF(C105="Dynasty Autographs",Calculator!$E$4,IF(C105="Debut Day Inscriptions",Calculator!$E$5,IFERROR(VALUE(SUBSTITUTE(F105,"/","")),0)))</f>
        <v>10</v>
      </c>
      <c r="I105" s="2">
        <f t="shared" si="7"/>
        <v>0</v>
      </c>
      <c r="J105" s="2">
        <f t="shared" si="8"/>
        <v>0</v>
      </c>
      <c r="K105" s="2">
        <f t="shared" si="9"/>
        <v>0</v>
      </c>
      <c r="L105" s="2">
        <f t="shared" si="10"/>
        <v>10</v>
      </c>
      <c r="M105" s="2">
        <f t="shared" si="11"/>
        <v>5</v>
      </c>
      <c r="N105" s="2">
        <f t="shared" si="12"/>
        <v>1</v>
      </c>
      <c r="O105" s="2">
        <f t="shared" si="13"/>
        <v>16</v>
      </c>
    </row>
    <row r="106" spans="1:15" x14ac:dyDescent="0.35">
      <c r="A106" s="2" t="s">
        <v>44</v>
      </c>
      <c r="B106" s="2" t="s">
        <v>23</v>
      </c>
      <c r="C106" s="2" t="s">
        <v>163</v>
      </c>
      <c r="D106" s="2" t="s">
        <v>164</v>
      </c>
      <c r="E106" s="2" t="s">
        <v>207</v>
      </c>
      <c r="F106" s="2" t="s">
        <v>20</v>
      </c>
      <c r="G106" s="2" t="s">
        <v>21</v>
      </c>
      <c r="H106" s="2">
        <f>IF(C106="Dynasty Autographs",Calculator!$E$4,IF(C106="Debut Day Inscriptions",Calculator!$E$5,IFERROR(VALUE(SUBSTITUTE(F106,"/","")),0)))</f>
        <v>10</v>
      </c>
      <c r="I106" s="2">
        <f t="shared" si="7"/>
        <v>0</v>
      </c>
      <c r="J106" s="2">
        <f t="shared" si="8"/>
        <v>0</v>
      </c>
      <c r="K106" s="2">
        <f t="shared" si="9"/>
        <v>0</v>
      </c>
      <c r="L106" s="2">
        <f t="shared" si="10"/>
        <v>10</v>
      </c>
      <c r="M106" s="2">
        <f t="shared" si="11"/>
        <v>5</v>
      </c>
      <c r="N106" s="2">
        <f t="shared" si="12"/>
        <v>1</v>
      </c>
      <c r="O106" s="2">
        <f t="shared" si="13"/>
        <v>16</v>
      </c>
    </row>
    <row r="107" spans="1:15" x14ac:dyDescent="0.35">
      <c r="A107" s="2" t="s">
        <v>44</v>
      </c>
      <c r="B107" s="2" t="s">
        <v>23</v>
      </c>
      <c r="C107" s="2" t="s">
        <v>163</v>
      </c>
      <c r="D107" s="2" t="s">
        <v>164</v>
      </c>
      <c r="E107" s="2" t="s">
        <v>208</v>
      </c>
      <c r="F107" s="2" t="s">
        <v>20</v>
      </c>
      <c r="G107" s="2" t="s">
        <v>21</v>
      </c>
      <c r="H107" s="2">
        <f>IF(C107="Dynasty Autographs",Calculator!$E$4,IF(C107="Debut Day Inscriptions",Calculator!$E$5,IFERROR(VALUE(SUBSTITUTE(F107,"/","")),0)))</f>
        <v>10</v>
      </c>
      <c r="I107" s="2">
        <f t="shared" si="7"/>
        <v>0</v>
      </c>
      <c r="J107" s="2">
        <f t="shared" si="8"/>
        <v>0</v>
      </c>
      <c r="K107" s="2">
        <f t="shared" si="9"/>
        <v>0</v>
      </c>
      <c r="L107" s="2">
        <f t="shared" si="10"/>
        <v>10</v>
      </c>
      <c r="M107" s="2">
        <f t="shared" si="11"/>
        <v>5</v>
      </c>
      <c r="N107" s="2">
        <f t="shared" si="12"/>
        <v>1</v>
      </c>
      <c r="O107" s="2">
        <f t="shared" si="13"/>
        <v>16</v>
      </c>
    </row>
    <row r="108" spans="1:15" x14ac:dyDescent="0.35">
      <c r="A108" s="2" t="s">
        <v>44</v>
      </c>
      <c r="B108" s="2" t="s">
        <v>23</v>
      </c>
      <c r="C108" s="2" t="s">
        <v>163</v>
      </c>
      <c r="D108" s="2" t="s">
        <v>164</v>
      </c>
      <c r="E108" s="2" t="s">
        <v>209</v>
      </c>
      <c r="F108" s="2" t="s">
        <v>20</v>
      </c>
      <c r="G108" s="2" t="s">
        <v>21</v>
      </c>
      <c r="H108" s="2">
        <f>IF(C108="Dynasty Autographs",Calculator!$E$4,IF(C108="Debut Day Inscriptions",Calculator!$E$5,IFERROR(VALUE(SUBSTITUTE(F108,"/","")),0)))</f>
        <v>10</v>
      </c>
      <c r="I108" s="2">
        <f t="shared" si="7"/>
        <v>0</v>
      </c>
      <c r="J108" s="2">
        <f t="shared" si="8"/>
        <v>0</v>
      </c>
      <c r="K108" s="2">
        <f t="shared" si="9"/>
        <v>0</v>
      </c>
      <c r="L108" s="2">
        <f t="shared" si="10"/>
        <v>10</v>
      </c>
      <c r="M108" s="2">
        <f t="shared" si="11"/>
        <v>5</v>
      </c>
      <c r="N108" s="2">
        <f t="shared" si="12"/>
        <v>1</v>
      </c>
      <c r="O108" s="2">
        <f t="shared" si="13"/>
        <v>16</v>
      </c>
    </row>
    <row r="109" spans="1:15" x14ac:dyDescent="0.35">
      <c r="A109" s="2" t="s">
        <v>44</v>
      </c>
      <c r="B109" s="2" t="s">
        <v>23</v>
      </c>
      <c r="C109" s="2" t="s">
        <v>163</v>
      </c>
      <c r="D109" s="2" t="s">
        <v>164</v>
      </c>
      <c r="E109" s="2" t="s">
        <v>210</v>
      </c>
      <c r="F109" s="2" t="s">
        <v>20</v>
      </c>
      <c r="G109" s="2" t="s">
        <v>21</v>
      </c>
      <c r="H109" s="2">
        <f>IF(C109="Dynasty Autographs",Calculator!$E$4,IF(C109="Debut Day Inscriptions",Calculator!$E$5,IFERROR(VALUE(SUBSTITUTE(F109,"/","")),0)))</f>
        <v>10</v>
      </c>
      <c r="I109" s="2">
        <f t="shared" si="7"/>
        <v>0</v>
      </c>
      <c r="J109" s="2">
        <f t="shared" si="8"/>
        <v>0</v>
      </c>
      <c r="K109" s="2">
        <f t="shared" si="9"/>
        <v>0</v>
      </c>
      <c r="L109" s="2">
        <f t="shared" si="10"/>
        <v>10</v>
      </c>
      <c r="M109" s="2">
        <f t="shared" si="11"/>
        <v>5</v>
      </c>
      <c r="N109" s="2">
        <f t="shared" si="12"/>
        <v>1</v>
      </c>
      <c r="O109" s="2">
        <f t="shared" si="13"/>
        <v>16</v>
      </c>
    </row>
    <row r="110" spans="1:15" x14ac:dyDescent="0.35">
      <c r="A110" s="2" t="s">
        <v>211</v>
      </c>
      <c r="B110" s="2" t="s">
        <v>16</v>
      </c>
      <c r="C110" s="2" t="s">
        <v>163</v>
      </c>
      <c r="D110" s="2" t="s">
        <v>164</v>
      </c>
      <c r="E110" s="2" t="s">
        <v>212</v>
      </c>
      <c r="F110" s="2" t="s">
        <v>20</v>
      </c>
      <c r="G110" s="2" t="s">
        <v>21</v>
      </c>
      <c r="H110" s="2">
        <f>IF(C110="Dynasty Autographs",Calculator!$E$4,IF(C110="Debut Day Inscriptions",Calculator!$E$5,IFERROR(VALUE(SUBSTITUTE(F110,"/","")),0)))</f>
        <v>10</v>
      </c>
      <c r="I110" s="2">
        <f t="shared" si="7"/>
        <v>0</v>
      </c>
      <c r="J110" s="2">
        <f t="shared" si="8"/>
        <v>0</v>
      </c>
      <c r="K110" s="2">
        <f t="shared" si="9"/>
        <v>0</v>
      </c>
      <c r="L110" s="2">
        <f t="shared" si="10"/>
        <v>10</v>
      </c>
      <c r="M110" s="2">
        <f t="shared" si="11"/>
        <v>5</v>
      </c>
      <c r="N110" s="2">
        <f t="shared" si="12"/>
        <v>1</v>
      </c>
      <c r="O110" s="2">
        <f t="shared" si="13"/>
        <v>16</v>
      </c>
    </row>
    <row r="111" spans="1:15" x14ac:dyDescent="0.35">
      <c r="A111" s="2" t="s">
        <v>211</v>
      </c>
      <c r="B111" s="2" t="s">
        <v>16</v>
      </c>
      <c r="C111" s="2" t="s">
        <v>163</v>
      </c>
      <c r="D111" s="2" t="s">
        <v>164</v>
      </c>
      <c r="E111" s="2" t="s">
        <v>213</v>
      </c>
      <c r="F111" s="2" t="s">
        <v>20</v>
      </c>
      <c r="G111" s="2" t="s">
        <v>21</v>
      </c>
      <c r="H111" s="2">
        <f>IF(C111="Dynasty Autographs",Calculator!$E$4,IF(C111="Debut Day Inscriptions",Calculator!$E$5,IFERROR(VALUE(SUBSTITUTE(F111,"/","")),0)))</f>
        <v>10</v>
      </c>
      <c r="I111" s="2">
        <f t="shared" si="7"/>
        <v>0</v>
      </c>
      <c r="J111" s="2">
        <f t="shared" si="8"/>
        <v>0</v>
      </c>
      <c r="K111" s="2">
        <f t="shared" si="9"/>
        <v>0</v>
      </c>
      <c r="L111" s="2">
        <f t="shared" si="10"/>
        <v>10</v>
      </c>
      <c r="M111" s="2">
        <f t="shared" si="11"/>
        <v>5</v>
      </c>
      <c r="N111" s="2">
        <f t="shared" si="12"/>
        <v>1</v>
      </c>
      <c r="O111" s="2">
        <f t="shared" si="13"/>
        <v>16</v>
      </c>
    </row>
    <row r="112" spans="1:15" x14ac:dyDescent="0.35">
      <c r="A112" s="2" t="s">
        <v>115</v>
      </c>
      <c r="B112" s="2" t="s">
        <v>16</v>
      </c>
      <c r="C112" s="2" t="s">
        <v>163</v>
      </c>
      <c r="D112" s="2" t="s">
        <v>164</v>
      </c>
      <c r="E112" s="2" t="s">
        <v>214</v>
      </c>
      <c r="F112" s="2" t="s">
        <v>20</v>
      </c>
      <c r="G112" s="2" t="s">
        <v>21</v>
      </c>
      <c r="H112" s="2">
        <f>IF(C112="Dynasty Autographs",Calculator!$E$4,IF(C112="Debut Day Inscriptions",Calculator!$E$5,IFERROR(VALUE(SUBSTITUTE(F112,"/","")),0)))</f>
        <v>10</v>
      </c>
      <c r="I112" s="2">
        <f t="shared" si="7"/>
        <v>0</v>
      </c>
      <c r="J112" s="2">
        <f t="shared" si="8"/>
        <v>0</v>
      </c>
      <c r="K112" s="2">
        <f t="shared" si="9"/>
        <v>0</v>
      </c>
      <c r="L112" s="2">
        <f t="shared" si="10"/>
        <v>10</v>
      </c>
      <c r="M112" s="2">
        <f t="shared" si="11"/>
        <v>5</v>
      </c>
      <c r="N112" s="2">
        <f t="shared" si="12"/>
        <v>1</v>
      </c>
      <c r="O112" s="2">
        <f t="shared" si="13"/>
        <v>16</v>
      </c>
    </row>
    <row r="113" spans="1:15" x14ac:dyDescent="0.35">
      <c r="A113" s="2" t="s">
        <v>115</v>
      </c>
      <c r="B113" s="2" t="s">
        <v>16</v>
      </c>
      <c r="C113" s="2" t="s">
        <v>163</v>
      </c>
      <c r="D113" s="2" t="s">
        <v>164</v>
      </c>
      <c r="E113" s="2" t="s">
        <v>215</v>
      </c>
      <c r="F113" s="2" t="s">
        <v>20</v>
      </c>
      <c r="G113" s="2" t="s">
        <v>21</v>
      </c>
      <c r="H113" s="2">
        <f>IF(C113="Dynasty Autographs",Calculator!$E$4,IF(C113="Debut Day Inscriptions",Calculator!$E$5,IFERROR(VALUE(SUBSTITUTE(F113,"/","")),0)))</f>
        <v>10</v>
      </c>
      <c r="I113" s="2">
        <f t="shared" si="7"/>
        <v>0</v>
      </c>
      <c r="J113" s="2">
        <f t="shared" si="8"/>
        <v>0</v>
      </c>
      <c r="K113" s="2">
        <f t="shared" si="9"/>
        <v>0</v>
      </c>
      <c r="L113" s="2">
        <f t="shared" si="10"/>
        <v>10</v>
      </c>
      <c r="M113" s="2">
        <f t="shared" si="11"/>
        <v>5</v>
      </c>
      <c r="N113" s="2">
        <f t="shared" si="12"/>
        <v>1</v>
      </c>
      <c r="O113" s="2">
        <f t="shared" si="13"/>
        <v>16</v>
      </c>
    </row>
    <row r="114" spans="1:15" x14ac:dyDescent="0.35">
      <c r="A114" s="2" t="s">
        <v>115</v>
      </c>
      <c r="B114" s="2" t="s">
        <v>16</v>
      </c>
      <c r="C114" s="2" t="s">
        <v>163</v>
      </c>
      <c r="D114" s="2" t="s">
        <v>164</v>
      </c>
      <c r="E114" s="2" t="s">
        <v>216</v>
      </c>
      <c r="F114" s="2" t="s">
        <v>20</v>
      </c>
      <c r="G114" s="2" t="s">
        <v>21</v>
      </c>
      <c r="H114" s="2">
        <f>IF(C114="Dynasty Autographs",Calculator!$E$4,IF(C114="Debut Day Inscriptions",Calculator!$E$5,IFERROR(VALUE(SUBSTITUTE(F114,"/","")),0)))</f>
        <v>10</v>
      </c>
      <c r="I114" s="2">
        <f t="shared" si="7"/>
        <v>0</v>
      </c>
      <c r="J114" s="2">
        <f t="shared" si="8"/>
        <v>0</v>
      </c>
      <c r="K114" s="2">
        <f t="shared" si="9"/>
        <v>0</v>
      </c>
      <c r="L114" s="2">
        <f t="shared" si="10"/>
        <v>10</v>
      </c>
      <c r="M114" s="2">
        <f t="shared" si="11"/>
        <v>5</v>
      </c>
      <c r="N114" s="2">
        <f t="shared" si="12"/>
        <v>1</v>
      </c>
      <c r="O114" s="2">
        <f t="shared" si="13"/>
        <v>16</v>
      </c>
    </row>
    <row r="115" spans="1:15" x14ac:dyDescent="0.35">
      <c r="A115" s="2" t="s">
        <v>46</v>
      </c>
      <c r="B115" s="2" t="s">
        <v>47</v>
      </c>
      <c r="C115" s="2" t="s">
        <v>163</v>
      </c>
      <c r="D115" s="2" t="s">
        <v>164</v>
      </c>
      <c r="E115" s="2" t="s">
        <v>217</v>
      </c>
      <c r="F115" s="2" t="s">
        <v>20</v>
      </c>
      <c r="G115" s="2" t="s">
        <v>21</v>
      </c>
      <c r="H115" s="2">
        <f>IF(C115="Dynasty Autographs",Calculator!$E$4,IF(C115="Debut Day Inscriptions",Calculator!$E$5,IFERROR(VALUE(SUBSTITUTE(F115,"/","")),0)))</f>
        <v>10</v>
      </c>
      <c r="I115" s="2">
        <f t="shared" si="7"/>
        <v>0</v>
      </c>
      <c r="J115" s="2">
        <f t="shared" si="8"/>
        <v>0</v>
      </c>
      <c r="K115" s="2">
        <f t="shared" si="9"/>
        <v>0</v>
      </c>
      <c r="L115" s="2">
        <f t="shared" si="10"/>
        <v>10</v>
      </c>
      <c r="M115" s="2">
        <f t="shared" si="11"/>
        <v>5</v>
      </c>
      <c r="N115" s="2">
        <f t="shared" si="12"/>
        <v>1</v>
      </c>
      <c r="O115" s="2">
        <f t="shared" si="13"/>
        <v>16</v>
      </c>
    </row>
    <row r="116" spans="1:15" x14ac:dyDescent="0.35">
      <c r="A116" s="2" t="s">
        <v>46</v>
      </c>
      <c r="B116" s="2" t="s">
        <v>47</v>
      </c>
      <c r="C116" s="2" t="s">
        <v>163</v>
      </c>
      <c r="D116" s="2" t="s">
        <v>164</v>
      </c>
      <c r="E116" s="2" t="s">
        <v>218</v>
      </c>
      <c r="F116" s="2" t="s">
        <v>20</v>
      </c>
      <c r="G116" s="2" t="s">
        <v>21</v>
      </c>
      <c r="H116" s="2">
        <f>IF(C116="Dynasty Autographs",Calculator!$E$4,IF(C116="Debut Day Inscriptions",Calculator!$E$5,IFERROR(VALUE(SUBSTITUTE(F116,"/","")),0)))</f>
        <v>10</v>
      </c>
      <c r="I116" s="2">
        <f t="shared" si="7"/>
        <v>0</v>
      </c>
      <c r="J116" s="2">
        <f t="shared" si="8"/>
        <v>0</v>
      </c>
      <c r="K116" s="2">
        <f t="shared" si="9"/>
        <v>0</v>
      </c>
      <c r="L116" s="2">
        <f t="shared" si="10"/>
        <v>10</v>
      </c>
      <c r="M116" s="2">
        <f t="shared" si="11"/>
        <v>5</v>
      </c>
      <c r="N116" s="2">
        <f t="shared" si="12"/>
        <v>1</v>
      </c>
      <c r="O116" s="2">
        <f t="shared" si="13"/>
        <v>16</v>
      </c>
    </row>
    <row r="117" spans="1:15" x14ac:dyDescent="0.35">
      <c r="A117" s="2" t="s">
        <v>219</v>
      </c>
      <c r="B117" s="2" t="s">
        <v>42</v>
      </c>
      <c r="C117" s="2" t="s">
        <v>163</v>
      </c>
      <c r="D117" s="2" t="s">
        <v>164</v>
      </c>
      <c r="E117" s="2" t="s">
        <v>220</v>
      </c>
      <c r="F117" s="2" t="s">
        <v>20</v>
      </c>
      <c r="G117" s="2" t="s">
        <v>21</v>
      </c>
      <c r="H117" s="2">
        <f>IF(C117="Dynasty Autographs",Calculator!$E$4,IF(C117="Debut Day Inscriptions",Calculator!$E$5,IFERROR(VALUE(SUBSTITUTE(F117,"/","")),0)))</f>
        <v>10</v>
      </c>
      <c r="I117" s="2">
        <f t="shared" si="7"/>
        <v>0</v>
      </c>
      <c r="J117" s="2">
        <f t="shared" si="8"/>
        <v>0</v>
      </c>
      <c r="K117" s="2">
        <f t="shared" si="9"/>
        <v>0</v>
      </c>
      <c r="L117" s="2">
        <f t="shared" si="10"/>
        <v>10</v>
      </c>
      <c r="M117" s="2">
        <f t="shared" si="11"/>
        <v>5</v>
      </c>
      <c r="N117" s="2">
        <f t="shared" si="12"/>
        <v>1</v>
      </c>
      <c r="O117" s="2">
        <f t="shared" si="13"/>
        <v>16</v>
      </c>
    </row>
    <row r="118" spans="1:15" x14ac:dyDescent="0.35">
      <c r="A118" s="2" t="s">
        <v>219</v>
      </c>
      <c r="B118" s="2" t="s">
        <v>42</v>
      </c>
      <c r="C118" s="2" t="s">
        <v>163</v>
      </c>
      <c r="D118" s="2" t="s">
        <v>164</v>
      </c>
      <c r="E118" s="2" t="s">
        <v>221</v>
      </c>
      <c r="F118" s="2" t="s">
        <v>20</v>
      </c>
      <c r="G118" s="2" t="s">
        <v>21</v>
      </c>
      <c r="H118" s="2">
        <f>IF(C118="Dynasty Autographs",Calculator!$E$4,IF(C118="Debut Day Inscriptions",Calculator!$E$5,IFERROR(VALUE(SUBSTITUTE(F118,"/","")),0)))</f>
        <v>10</v>
      </c>
      <c r="I118" s="2">
        <f t="shared" si="7"/>
        <v>0</v>
      </c>
      <c r="J118" s="2">
        <f t="shared" si="8"/>
        <v>0</v>
      </c>
      <c r="K118" s="2">
        <f t="shared" si="9"/>
        <v>0</v>
      </c>
      <c r="L118" s="2">
        <f t="shared" si="10"/>
        <v>10</v>
      </c>
      <c r="M118" s="2">
        <f t="shared" si="11"/>
        <v>5</v>
      </c>
      <c r="N118" s="2">
        <f t="shared" si="12"/>
        <v>1</v>
      </c>
      <c r="O118" s="2">
        <f t="shared" si="13"/>
        <v>16</v>
      </c>
    </row>
    <row r="119" spans="1:15" x14ac:dyDescent="0.35">
      <c r="A119" s="2" t="s">
        <v>219</v>
      </c>
      <c r="B119" s="2" t="s">
        <v>42</v>
      </c>
      <c r="C119" s="2" t="s">
        <v>163</v>
      </c>
      <c r="D119" s="2" t="s">
        <v>164</v>
      </c>
      <c r="E119" s="2" t="s">
        <v>222</v>
      </c>
      <c r="F119" s="2" t="s">
        <v>20</v>
      </c>
      <c r="G119" s="2" t="s">
        <v>21</v>
      </c>
      <c r="H119" s="2">
        <f>IF(C119="Dynasty Autographs",Calculator!$E$4,IF(C119="Debut Day Inscriptions",Calculator!$E$5,IFERROR(VALUE(SUBSTITUTE(F119,"/","")),0)))</f>
        <v>10</v>
      </c>
      <c r="I119" s="2">
        <f t="shared" si="7"/>
        <v>0</v>
      </c>
      <c r="J119" s="2">
        <f t="shared" si="8"/>
        <v>0</v>
      </c>
      <c r="K119" s="2">
        <f t="shared" si="9"/>
        <v>0</v>
      </c>
      <c r="L119" s="2">
        <f t="shared" si="10"/>
        <v>10</v>
      </c>
      <c r="M119" s="2">
        <f t="shared" si="11"/>
        <v>5</v>
      </c>
      <c r="N119" s="2">
        <f t="shared" si="12"/>
        <v>1</v>
      </c>
      <c r="O119" s="2">
        <f t="shared" si="13"/>
        <v>16</v>
      </c>
    </row>
    <row r="120" spans="1:15" x14ac:dyDescent="0.35">
      <c r="A120" s="2" t="s">
        <v>219</v>
      </c>
      <c r="B120" s="2" t="s">
        <v>42</v>
      </c>
      <c r="C120" s="2" t="s">
        <v>163</v>
      </c>
      <c r="D120" s="2" t="s">
        <v>164</v>
      </c>
      <c r="E120" s="2" t="s">
        <v>223</v>
      </c>
      <c r="F120" s="2" t="s">
        <v>20</v>
      </c>
      <c r="G120" s="2" t="s">
        <v>21</v>
      </c>
      <c r="H120" s="2">
        <f>IF(C120="Dynasty Autographs",Calculator!$E$4,IF(C120="Debut Day Inscriptions",Calculator!$E$5,IFERROR(VALUE(SUBSTITUTE(F120,"/","")),0)))</f>
        <v>10</v>
      </c>
      <c r="I120" s="2">
        <f t="shared" si="7"/>
        <v>0</v>
      </c>
      <c r="J120" s="2">
        <f t="shared" si="8"/>
        <v>0</v>
      </c>
      <c r="K120" s="2">
        <f t="shared" si="9"/>
        <v>0</v>
      </c>
      <c r="L120" s="2">
        <f t="shared" si="10"/>
        <v>10</v>
      </c>
      <c r="M120" s="2">
        <f t="shared" si="11"/>
        <v>5</v>
      </c>
      <c r="N120" s="2">
        <f t="shared" si="12"/>
        <v>1</v>
      </c>
      <c r="O120" s="2">
        <f t="shared" si="13"/>
        <v>16</v>
      </c>
    </row>
    <row r="121" spans="1:15" x14ac:dyDescent="0.35">
      <c r="A121" s="2" t="s">
        <v>51</v>
      </c>
      <c r="B121" s="2" t="s">
        <v>52</v>
      </c>
      <c r="C121" s="2" t="s">
        <v>163</v>
      </c>
      <c r="D121" s="2" t="s">
        <v>164</v>
      </c>
      <c r="E121" s="2" t="s">
        <v>224</v>
      </c>
      <c r="F121" s="2" t="s">
        <v>20</v>
      </c>
      <c r="G121" s="2" t="s">
        <v>21</v>
      </c>
      <c r="H121" s="2">
        <f>IF(C121="Dynasty Autographs",Calculator!$E$4,IF(C121="Debut Day Inscriptions",Calculator!$E$5,IFERROR(VALUE(SUBSTITUTE(F121,"/","")),0)))</f>
        <v>10</v>
      </c>
      <c r="I121" s="2">
        <f t="shared" si="7"/>
        <v>0</v>
      </c>
      <c r="J121" s="2">
        <f t="shared" si="8"/>
        <v>0</v>
      </c>
      <c r="K121" s="2">
        <f t="shared" si="9"/>
        <v>0</v>
      </c>
      <c r="L121" s="2">
        <f t="shared" si="10"/>
        <v>10</v>
      </c>
      <c r="M121" s="2">
        <f t="shared" si="11"/>
        <v>5</v>
      </c>
      <c r="N121" s="2">
        <f t="shared" si="12"/>
        <v>1</v>
      </c>
      <c r="O121" s="2">
        <f t="shared" si="13"/>
        <v>16</v>
      </c>
    </row>
    <row r="122" spans="1:15" x14ac:dyDescent="0.35">
      <c r="A122" s="2" t="s">
        <v>51</v>
      </c>
      <c r="B122" s="2" t="s">
        <v>52</v>
      </c>
      <c r="C122" s="2" t="s">
        <v>163</v>
      </c>
      <c r="D122" s="2" t="s">
        <v>164</v>
      </c>
      <c r="E122" s="2" t="s">
        <v>225</v>
      </c>
      <c r="F122" s="2" t="s">
        <v>20</v>
      </c>
      <c r="G122" s="2" t="s">
        <v>21</v>
      </c>
      <c r="H122" s="2">
        <f>IF(C122="Dynasty Autographs",Calculator!$E$4,IF(C122="Debut Day Inscriptions",Calculator!$E$5,IFERROR(VALUE(SUBSTITUTE(F122,"/","")),0)))</f>
        <v>10</v>
      </c>
      <c r="I122" s="2">
        <f t="shared" si="7"/>
        <v>0</v>
      </c>
      <c r="J122" s="2">
        <f t="shared" si="8"/>
        <v>0</v>
      </c>
      <c r="K122" s="2">
        <f t="shared" si="9"/>
        <v>0</v>
      </c>
      <c r="L122" s="2">
        <f t="shared" si="10"/>
        <v>10</v>
      </c>
      <c r="M122" s="2">
        <f t="shared" si="11"/>
        <v>5</v>
      </c>
      <c r="N122" s="2">
        <f t="shared" si="12"/>
        <v>1</v>
      </c>
      <c r="O122" s="2">
        <f t="shared" si="13"/>
        <v>16</v>
      </c>
    </row>
    <row r="123" spans="1:15" x14ac:dyDescent="0.35">
      <c r="A123" s="2" t="s">
        <v>51</v>
      </c>
      <c r="B123" s="2" t="s">
        <v>52</v>
      </c>
      <c r="C123" s="2" t="s">
        <v>163</v>
      </c>
      <c r="D123" s="2" t="s">
        <v>164</v>
      </c>
      <c r="E123" s="2" t="s">
        <v>226</v>
      </c>
      <c r="F123" s="2" t="s">
        <v>20</v>
      </c>
      <c r="G123" s="2" t="s">
        <v>21</v>
      </c>
      <c r="H123" s="2">
        <f>IF(C123="Dynasty Autographs",Calculator!$E$4,IF(C123="Debut Day Inscriptions",Calculator!$E$5,IFERROR(VALUE(SUBSTITUTE(F123,"/","")),0)))</f>
        <v>10</v>
      </c>
      <c r="I123" s="2">
        <f t="shared" si="7"/>
        <v>0</v>
      </c>
      <c r="J123" s="2">
        <f t="shared" si="8"/>
        <v>0</v>
      </c>
      <c r="K123" s="2">
        <f t="shared" si="9"/>
        <v>0</v>
      </c>
      <c r="L123" s="2">
        <f t="shared" si="10"/>
        <v>10</v>
      </c>
      <c r="M123" s="2">
        <f t="shared" si="11"/>
        <v>5</v>
      </c>
      <c r="N123" s="2">
        <f t="shared" si="12"/>
        <v>1</v>
      </c>
      <c r="O123" s="2">
        <f t="shared" si="13"/>
        <v>16</v>
      </c>
    </row>
    <row r="124" spans="1:15" x14ac:dyDescent="0.35">
      <c r="A124" s="2" t="s">
        <v>51</v>
      </c>
      <c r="B124" s="2" t="s">
        <v>52</v>
      </c>
      <c r="C124" s="2" t="s">
        <v>163</v>
      </c>
      <c r="D124" s="2" t="s">
        <v>164</v>
      </c>
      <c r="E124" s="2" t="s">
        <v>227</v>
      </c>
      <c r="F124" s="2" t="s">
        <v>20</v>
      </c>
      <c r="G124" s="2" t="s">
        <v>21</v>
      </c>
      <c r="H124" s="2">
        <f>IF(C124="Dynasty Autographs",Calculator!$E$4,IF(C124="Debut Day Inscriptions",Calculator!$E$5,IFERROR(VALUE(SUBSTITUTE(F124,"/","")),0)))</f>
        <v>10</v>
      </c>
      <c r="I124" s="2">
        <f t="shared" si="7"/>
        <v>0</v>
      </c>
      <c r="J124" s="2">
        <f t="shared" si="8"/>
        <v>0</v>
      </c>
      <c r="K124" s="2">
        <f t="shared" si="9"/>
        <v>0</v>
      </c>
      <c r="L124" s="2">
        <f t="shared" si="10"/>
        <v>10</v>
      </c>
      <c r="M124" s="2">
        <f t="shared" si="11"/>
        <v>5</v>
      </c>
      <c r="N124" s="2">
        <f t="shared" si="12"/>
        <v>1</v>
      </c>
      <c r="O124" s="2">
        <f t="shared" si="13"/>
        <v>16</v>
      </c>
    </row>
    <row r="125" spans="1:15" x14ac:dyDescent="0.35">
      <c r="A125" s="2" t="s">
        <v>51</v>
      </c>
      <c r="B125" s="2" t="s">
        <v>52</v>
      </c>
      <c r="C125" s="2" t="s">
        <v>163</v>
      </c>
      <c r="D125" s="2" t="s">
        <v>164</v>
      </c>
      <c r="E125" s="2" t="s">
        <v>228</v>
      </c>
      <c r="F125" s="2" t="s">
        <v>20</v>
      </c>
      <c r="G125" s="2" t="s">
        <v>21</v>
      </c>
      <c r="H125" s="2">
        <f>IF(C125="Dynasty Autographs",Calculator!$E$4,IF(C125="Debut Day Inscriptions",Calculator!$E$5,IFERROR(VALUE(SUBSTITUTE(F125,"/","")),0)))</f>
        <v>10</v>
      </c>
      <c r="I125" s="2">
        <f t="shared" si="7"/>
        <v>0</v>
      </c>
      <c r="J125" s="2">
        <f t="shared" si="8"/>
        <v>0</v>
      </c>
      <c r="K125" s="2">
        <f t="shared" si="9"/>
        <v>0</v>
      </c>
      <c r="L125" s="2">
        <f t="shared" si="10"/>
        <v>10</v>
      </c>
      <c r="M125" s="2">
        <f t="shared" si="11"/>
        <v>5</v>
      </c>
      <c r="N125" s="2">
        <f t="shared" si="12"/>
        <v>1</v>
      </c>
      <c r="O125" s="2">
        <f t="shared" si="13"/>
        <v>16</v>
      </c>
    </row>
    <row r="126" spans="1:15" x14ac:dyDescent="0.35">
      <c r="A126" s="2" t="s">
        <v>51</v>
      </c>
      <c r="B126" s="2" t="s">
        <v>52</v>
      </c>
      <c r="C126" s="2" t="s">
        <v>163</v>
      </c>
      <c r="D126" s="2" t="s">
        <v>164</v>
      </c>
      <c r="E126" s="2" t="s">
        <v>229</v>
      </c>
      <c r="F126" s="2" t="s">
        <v>20</v>
      </c>
      <c r="G126" s="2" t="s">
        <v>21</v>
      </c>
      <c r="H126" s="2">
        <f>IF(C126="Dynasty Autographs",Calculator!$E$4,IF(C126="Debut Day Inscriptions",Calculator!$E$5,IFERROR(VALUE(SUBSTITUTE(F126,"/","")),0)))</f>
        <v>10</v>
      </c>
      <c r="I126" s="2">
        <f t="shared" si="7"/>
        <v>0</v>
      </c>
      <c r="J126" s="2">
        <f t="shared" si="8"/>
        <v>0</v>
      </c>
      <c r="K126" s="2">
        <f t="shared" si="9"/>
        <v>0</v>
      </c>
      <c r="L126" s="2">
        <f t="shared" si="10"/>
        <v>10</v>
      </c>
      <c r="M126" s="2">
        <f t="shared" si="11"/>
        <v>5</v>
      </c>
      <c r="N126" s="2">
        <f t="shared" si="12"/>
        <v>1</v>
      </c>
      <c r="O126" s="2">
        <f t="shared" si="13"/>
        <v>16</v>
      </c>
    </row>
    <row r="127" spans="1:15" x14ac:dyDescent="0.35">
      <c r="A127" s="2" t="s">
        <v>230</v>
      </c>
      <c r="B127" s="2" t="s">
        <v>52</v>
      </c>
      <c r="C127" s="2" t="s">
        <v>163</v>
      </c>
      <c r="D127" s="2" t="s">
        <v>164</v>
      </c>
      <c r="E127" s="2" t="s">
        <v>231</v>
      </c>
      <c r="F127" s="2" t="s">
        <v>20</v>
      </c>
      <c r="G127" s="2" t="s">
        <v>21</v>
      </c>
      <c r="H127" s="2">
        <f>IF(C127="Dynasty Autographs",Calculator!$E$4,IF(C127="Debut Day Inscriptions",Calculator!$E$5,IFERROR(VALUE(SUBSTITUTE(F127,"/","")),0)))</f>
        <v>10</v>
      </c>
      <c r="I127" s="2">
        <f t="shared" si="7"/>
        <v>0</v>
      </c>
      <c r="J127" s="2">
        <f t="shared" si="8"/>
        <v>0</v>
      </c>
      <c r="K127" s="2">
        <f t="shared" si="9"/>
        <v>0</v>
      </c>
      <c r="L127" s="2">
        <f t="shared" si="10"/>
        <v>10</v>
      </c>
      <c r="M127" s="2">
        <f t="shared" si="11"/>
        <v>5</v>
      </c>
      <c r="N127" s="2">
        <f t="shared" si="12"/>
        <v>1</v>
      </c>
      <c r="O127" s="2">
        <f t="shared" si="13"/>
        <v>16</v>
      </c>
    </row>
    <row r="128" spans="1:15" x14ac:dyDescent="0.35">
      <c r="A128" s="2" t="s">
        <v>230</v>
      </c>
      <c r="B128" s="2" t="s">
        <v>52</v>
      </c>
      <c r="C128" s="2" t="s">
        <v>163</v>
      </c>
      <c r="D128" s="2" t="s">
        <v>164</v>
      </c>
      <c r="E128" s="2" t="s">
        <v>232</v>
      </c>
      <c r="F128" s="2" t="s">
        <v>20</v>
      </c>
      <c r="G128" s="2" t="s">
        <v>21</v>
      </c>
      <c r="H128" s="2">
        <f>IF(C128="Dynasty Autographs",Calculator!$E$4,IF(C128="Debut Day Inscriptions",Calculator!$E$5,IFERROR(VALUE(SUBSTITUTE(F128,"/","")),0)))</f>
        <v>10</v>
      </c>
      <c r="I128" s="2">
        <f t="shared" si="7"/>
        <v>0</v>
      </c>
      <c r="J128" s="2">
        <f t="shared" si="8"/>
        <v>0</v>
      </c>
      <c r="K128" s="2">
        <f t="shared" si="9"/>
        <v>0</v>
      </c>
      <c r="L128" s="2">
        <f t="shared" si="10"/>
        <v>10</v>
      </c>
      <c r="M128" s="2">
        <f t="shared" si="11"/>
        <v>5</v>
      </c>
      <c r="N128" s="2">
        <f t="shared" si="12"/>
        <v>1</v>
      </c>
      <c r="O128" s="2">
        <f t="shared" si="13"/>
        <v>16</v>
      </c>
    </row>
    <row r="129" spans="1:15" x14ac:dyDescent="0.35">
      <c r="A129" s="2" t="s">
        <v>230</v>
      </c>
      <c r="B129" s="2" t="s">
        <v>52</v>
      </c>
      <c r="C129" s="2" t="s">
        <v>163</v>
      </c>
      <c r="D129" s="2" t="s">
        <v>164</v>
      </c>
      <c r="E129" s="2" t="s">
        <v>233</v>
      </c>
      <c r="F129" s="2" t="s">
        <v>20</v>
      </c>
      <c r="G129" s="2" t="s">
        <v>21</v>
      </c>
      <c r="H129" s="2">
        <f>IF(C129="Dynasty Autographs",Calculator!$E$4,IF(C129="Debut Day Inscriptions",Calculator!$E$5,IFERROR(VALUE(SUBSTITUTE(F129,"/","")),0)))</f>
        <v>10</v>
      </c>
      <c r="I129" s="2">
        <f t="shared" si="7"/>
        <v>0</v>
      </c>
      <c r="J129" s="2">
        <f t="shared" si="8"/>
        <v>0</v>
      </c>
      <c r="K129" s="2">
        <f t="shared" si="9"/>
        <v>0</v>
      </c>
      <c r="L129" s="2">
        <f t="shared" si="10"/>
        <v>10</v>
      </c>
      <c r="M129" s="2">
        <f t="shared" si="11"/>
        <v>5</v>
      </c>
      <c r="N129" s="2">
        <f t="shared" si="12"/>
        <v>1</v>
      </c>
      <c r="O129" s="2">
        <f t="shared" si="13"/>
        <v>16</v>
      </c>
    </row>
    <row r="130" spans="1:15" x14ac:dyDescent="0.35">
      <c r="A130" s="2" t="s">
        <v>230</v>
      </c>
      <c r="B130" s="2" t="s">
        <v>52</v>
      </c>
      <c r="C130" s="2" t="s">
        <v>163</v>
      </c>
      <c r="D130" s="2" t="s">
        <v>164</v>
      </c>
      <c r="E130" s="2" t="s">
        <v>234</v>
      </c>
      <c r="F130" s="2" t="s">
        <v>20</v>
      </c>
      <c r="G130" s="2" t="s">
        <v>21</v>
      </c>
      <c r="H130" s="2">
        <f>IF(C130="Dynasty Autographs",Calculator!$E$4,IF(C130="Debut Day Inscriptions",Calculator!$E$5,IFERROR(VALUE(SUBSTITUTE(F130,"/","")),0)))</f>
        <v>10</v>
      </c>
      <c r="I130" s="2">
        <f t="shared" ref="I130:I193" si="14">IF(H130=99,99,IF(ISNUMBER(SEARCH("/99",G130)),99,0))</f>
        <v>0</v>
      </c>
      <c r="J130" s="2">
        <f t="shared" ref="J130:J193" si="15">IF(H130=50,50,IF(ISNUMBER(SEARCH("/50",G130)),50,0))</f>
        <v>0</v>
      </c>
      <c r="K130" s="2">
        <f t="shared" ref="K130:K193" si="16">IF(H130=25,25,IF(ISNUMBER(SEARCH("/25",G130)),25,0))</f>
        <v>0</v>
      </c>
      <c r="L130" s="2">
        <f t="shared" ref="L130:L193" si="17">IF(H130=10,10,IF(ISNUMBER(SEARCH("/10",G130)),10,0))</f>
        <v>10</v>
      </c>
      <c r="M130" s="2">
        <f t="shared" ref="M130:M193" si="18">IF(H130=5,5,IF(ISNUMBER(SEARCH("/5",G130)),5,0))</f>
        <v>5</v>
      </c>
      <c r="N130" s="2">
        <f t="shared" ref="N130:N193" si="19">IF(H130=1,1,IF(ISNUMBER(SEARCH("1/1",G130)),1,0))</f>
        <v>1</v>
      </c>
      <c r="O130" s="2">
        <f t="shared" ref="O130:O193" si="20">SUM(I130:N130)</f>
        <v>16</v>
      </c>
    </row>
    <row r="131" spans="1:15" x14ac:dyDescent="0.35">
      <c r="A131" s="2" t="s">
        <v>54</v>
      </c>
      <c r="B131" s="2" t="s">
        <v>26</v>
      </c>
      <c r="C131" s="2" t="s">
        <v>163</v>
      </c>
      <c r="D131" s="2" t="s">
        <v>164</v>
      </c>
      <c r="E131" s="2" t="s">
        <v>235</v>
      </c>
      <c r="F131" s="2" t="s">
        <v>20</v>
      </c>
      <c r="G131" s="2" t="s">
        <v>21</v>
      </c>
      <c r="H131" s="2">
        <f>IF(C131="Dynasty Autographs",Calculator!$E$4,IF(C131="Debut Day Inscriptions",Calculator!$E$5,IFERROR(VALUE(SUBSTITUTE(F131,"/","")),0)))</f>
        <v>10</v>
      </c>
      <c r="I131" s="2">
        <f t="shared" si="14"/>
        <v>0</v>
      </c>
      <c r="J131" s="2">
        <f t="shared" si="15"/>
        <v>0</v>
      </c>
      <c r="K131" s="2">
        <f t="shared" si="16"/>
        <v>0</v>
      </c>
      <c r="L131" s="2">
        <f t="shared" si="17"/>
        <v>10</v>
      </c>
      <c r="M131" s="2">
        <f t="shared" si="18"/>
        <v>5</v>
      </c>
      <c r="N131" s="2">
        <f t="shared" si="19"/>
        <v>1</v>
      </c>
      <c r="O131" s="2">
        <f t="shared" si="20"/>
        <v>16</v>
      </c>
    </row>
    <row r="132" spans="1:15" x14ac:dyDescent="0.35">
      <c r="A132" s="2" t="s">
        <v>54</v>
      </c>
      <c r="B132" s="2" t="s">
        <v>26</v>
      </c>
      <c r="C132" s="2" t="s">
        <v>163</v>
      </c>
      <c r="D132" s="2" t="s">
        <v>164</v>
      </c>
      <c r="E132" s="2" t="s">
        <v>236</v>
      </c>
      <c r="F132" s="2" t="s">
        <v>20</v>
      </c>
      <c r="G132" s="2" t="s">
        <v>21</v>
      </c>
      <c r="H132" s="2">
        <f>IF(C132="Dynasty Autographs",Calculator!$E$4,IF(C132="Debut Day Inscriptions",Calculator!$E$5,IFERROR(VALUE(SUBSTITUTE(F132,"/","")),0)))</f>
        <v>10</v>
      </c>
      <c r="I132" s="2">
        <f t="shared" si="14"/>
        <v>0</v>
      </c>
      <c r="J132" s="2">
        <f t="shared" si="15"/>
        <v>0</v>
      </c>
      <c r="K132" s="2">
        <f t="shared" si="16"/>
        <v>0</v>
      </c>
      <c r="L132" s="2">
        <f t="shared" si="17"/>
        <v>10</v>
      </c>
      <c r="M132" s="2">
        <f t="shared" si="18"/>
        <v>5</v>
      </c>
      <c r="N132" s="2">
        <f t="shared" si="19"/>
        <v>1</v>
      </c>
      <c r="O132" s="2">
        <f t="shared" si="20"/>
        <v>16</v>
      </c>
    </row>
    <row r="133" spans="1:15" x14ac:dyDescent="0.35">
      <c r="A133" s="2" t="s">
        <v>54</v>
      </c>
      <c r="B133" s="2" t="s">
        <v>26</v>
      </c>
      <c r="C133" s="2" t="s">
        <v>163</v>
      </c>
      <c r="D133" s="2" t="s">
        <v>164</v>
      </c>
      <c r="E133" s="2" t="s">
        <v>237</v>
      </c>
      <c r="F133" s="2" t="s">
        <v>20</v>
      </c>
      <c r="G133" s="2" t="s">
        <v>21</v>
      </c>
      <c r="H133" s="2">
        <f>IF(C133="Dynasty Autographs",Calculator!$E$4,IF(C133="Debut Day Inscriptions",Calculator!$E$5,IFERROR(VALUE(SUBSTITUTE(F133,"/","")),0)))</f>
        <v>10</v>
      </c>
      <c r="I133" s="2">
        <f t="shared" si="14"/>
        <v>0</v>
      </c>
      <c r="J133" s="2">
        <f t="shared" si="15"/>
        <v>0</v>
      </c>
      <c r="K133" s="2">
        <f t="shared" si="16"/>
        <v>0</v>
      </c>
      <c r="L133" s="2">
        <f t="shared" si="17"/>
        <v>10</v>
      </c>
      <c r="M133" s="2">
        <f t="shared" si="18"/>
        <v>5</v>
      </c>
      <c r="N133" s="2">
        <f t="shared" si="19"/>
        <v>1</v>
      </c>
      <c r="O133" s="2">
        <f t="shared" si="20"/>
        <v>16</v>
      </c>
    </row>
    <row r="134" spans="1:15" x14ac:dyDescent="0.35">
      <c r="A134" s="2" t="s">
        <v>54</v>
      </c>
      <c r="B134" s="2" t="s">
        <v>26</v>
      </c>
      <c r="C134" s="2" t="s">
        <v>163</v>
      </c>
      <c r="D134" s="2" t="s">
        <v>164</v>
      </c>
      <c r="E134" s="2" t="s">
        <v>238</v>
      </c>
      <c r="F134" s="2" t="s">
        <v>20</v>
      </c>
      <c r="G134" s="2" t="s">
        <v>21</v>
      </c>
      <c r="H134" s="2">
        <f>IF(C134="Dynasty Autographs",Calculator!$E$4,IF(C134="Debut Day Inscriptions",Calculator!$E$5,IFERROR(VALUE(SUBSTITUTE(F134,"/","")),0)))</f>
        <v>10</v>
      </c>
      <c r="I134" s="2">
        <f t="shared" si="14"/>
        <v>0</v>
      </c>
      <c r="J134" s="2">
        <f t="shared" si="15"/>
        <v>0</v>
      </c>
      <c r="K134" s="2">
        <f t="shared" si="16"/>
        <v>0</v>
      </c>
      <c r="L134" s="2">
        <f t="shared" si="17"/>
        <v>10</v>
      </c>
      <c r="M134" s="2">
        <f t="shared" si="18"/>
        <v>5</v>
      </c>
      <c r="N134" s="2">
        <f t="shared" si="19"/>
        <v>1</v>
      </c>
      <c r="O134" s="2">
        <f t="shared" si="20"/>
        <v>16</v>
      </c>
    </row>
    <row r="135" spans="1:15" x14ac:dyDescent="0.35">
      <c r="A135" s="2" t="s">
        <v>120</v>
      </c>
      <c r="B135" s="2" t="s">
        <v>52</v>
      </c>
      <c r="C135" s="2" t="s">
        <v>163</v>
      </c>
      <c r="D135" s="2" t="s">
        <v>164</v>
      </c>
      <c r="E135" s="2" t="s">
        <v>239</v>
      </c>
      <c r="F135" s="2" t="s">
        <v>20</v>
      </c>
      <c r="G135" s="2" t="s">
        <v>21</v>
      </c>
      <c r="H135" s="2">
        <f>IF(C135="Dynasty Autographs",Calculator!$E$4,IF(C135="Debut Day Inscriptions",Calculator!$E$5,IFERROR(VALUE(SUBSTITUTE(F135,"/","")),0)))</f>
        <v>10</v>
      </c>
      <c r="I135" s="2">
        <f t="shared" si="14"/>
        <v>0</v>
      </c>
      <c r="J135" s="2">
        <f t="shared" si="15"/>
        <v>0</v>
      </c>
      <c r="K135" s="2">
        <f t="shared" si="16"/>
        <v>0</v>
      </c>
      <c r="L135" s="2">
        <f t="shared" si="17"/>
        <v>10</v>
      </c>
      <c r="M135" s="2">
        <f t="shared" si="18"/>
        <v>5</v>
      </c>
      <c r="N135" s="2">
        <f t="shared" si="19"/>
        <v>1</v>
      </c>
      <c r="O135" s="2">
        <f t="shared" si="20"/>
        <v>16</v>
      </c>
    </row>
    <row r="136" spans="1:15" x14ac:dyDescent="0.35">
      <c r="A136" s="2" t="s">
        <v>120</v>
      </c>
      <c r="B136" s="2" t="s">
        <v>52</v>
      </c>
      <c r="C136" s="2" t="s">
        <v>163</v>
      </c>
      <c r="D136" s="2" t="s">
        <v>164</v>
      </c>
      <c r="E136" s="2" t="s">
        <v>240</v>
      </c>
      <c r="F136" s="2" t="s">
        <v>20</v>
      </c>
      <c r="G136" s="2" t="s">
        <v>21</v>
      </c>
      <c r="H136" s="2">
        <f>IF(C136="Dynasty Autographs",Calculator!$E$4,IF(C136="Debut Day Inscriptions",Calculator!$E$5,IFERROR(VALUE(SUBSTITUTE(F136,"/","")),0)))</f>
        <v>10</v>
      </c>
      <c r="I136" s="2">
        <f t="shared" si="14"/>
        <v>0</v>
      </c>
      <c r="J136" s="2">
        <f t="shared" si="15"/>
        <v>0</v>
      </c>
      <c r="K136" s="2">
        <f t="shared" si="16"/>
        <v>0</v>
      </c>
      <c r="L136" s="2">
        <f t="shared" si="17"/>
        <v>10</v>
      </c>
      <c r="M136" s="2">
        <f t="shared" si="18"/>
        <v>5</v>
      </c>
      <c r="N136" s="2">
        <f t="shared" si="19"/>
        <v>1</v>
      </c>
      <c r="O136" s="2">
        <f t="shared" si="20"/>
        <v>16</v>
      </c>
    </row>
    <row r="137" spans="1:15" x14ac:dyDescent="0.35">
      <c r="A137" s="2" t="s">
        <v>120</v>
      </c>
      <c r="B137" s="2" t="s">
        <v>52</v>
      </c>
      <c r="C137" s="2" t="s">
        <v>163</v>
      </c>
      <c r="D137" s="2" t="s">
        <v>164</v>
      </c>
      <c r="E137" s="2" t="s">
        <v>241</v>
      </c>
      <c r="F137" s="2" t="s">
        <v>20</v>
      </c>
      <c r="G137" s="2" t="s">
        <v>21</v>
      </c>
      <c r="H137" s="2">
        <f>IF(C137="Dynasty Autographs",Calculator!$E$4,IF(C137="Debut Day Inscriptions",Calculator!$E$5,IFERROR(VALUE(SUBSTITUTE(F137,"/","")),0)))</f>
        <v>10</v>
      </c>
      <c r="I137" s="2">
        <f t="shared" si="14"/>
        <v>0</v>
      </c>
      <c r="J137" s="2">
        <f t="shared" si="15"/>
        <v>0</v>
      </c>
      <c r="K137" s="2">
        <f t="shared" si="16"/>
        <v>0</v>
      </c>
      <c r="L137" s="2">
        <f t="shared" si="17"/>
        <v>10</v>
      </c>
      <c r="M137" s="2">
        <f t="shared" si="18"/>
        <v>5</v>
      </c>
      <c r="N137" s="2">
        <f t="shared" si="19"/>
        <v>1</v>
      </c>
      <c r="O137" s="2">
        <f t="shared" si="20"/>
        <v>16</v>
      </c>
    </row>
    <row r="138" spans="1:15" x14ac:dyDescent="0.35">
      <c r="A138" s="2" t="s">
        <v>120</v>
      </c>
      <c r="B138" s="2" t="s">
        <v>52</v>
      </c>
      <c r="C138" s="2" t="s">
        <v>163</v>
      </c>
      <c r="D138" s="2" t="s">
        <v>164</v>
      </c>
      <c r="E138" s="2" t="s">
        <v>242</v>
      </c>
      <c r="F138" s="2" t="s">
        <v>20</v>
      </c>
      <c r="G138" s="2" t="s">
        <v>21</v>
      </c>
      <c r="H138" s="2">
        <f>IF(C138="Dynasty Autographs",Calculator!$E$4,IF(C138="Debut Day Inscriptions",Calculator!$E$5,IFERROR(VALUE(SUBSTITUTE(F138,"/","")),0)))</f>
        <v>10</v>
      </c>
      <c r="I138" s="2">
        <f t="shared" si="14"/>
        <v>0</v>
      </c>
      <c r="J138" s="2">
        <f t="shared" si="15"/>
        <v>0</v>
      </c>
      <c r="K138" s="2">
        <f t="shared" si="16"/>
        <v>0</v>
      </c>
      <c r="L138" s="2">
        <f t="shared" si="17"/>
        <v>10</v>
      </c>
      <c r="M138" s="2">
        <f t="shared" si="18"/>
        <v>5</v>
      </c>
      <c r="N138" s="2">
        <f t="shared" si="19"/>
        <v>1</v>
      </c>
      <c r="O138" s="2">
        <f t="shared" si="20"/>
        <v>16</v>
      </c>
    </row>
    <row r="139" spans="1:15" x14ac:dyDescent="0.35">
      <c r="A139" s="2" t="s">
        <v>58</v>
      </c>
      <c r="B139" s="2" t="s">
        <v>136</v>
      </c>
      <c r="C139" s="2" t="s">
        <v>163</v>
      </c>
      <c r="D139" s="2" t="s">
        <v>164</v>
      </c>
      <c r="E139" s="2" t="s">
        <v>243</v>
      </c>
      <c r="F139" s="2" t="s">
        <v>20</v>
      </c>
      <c r="G139" s="2" t="s">
        <v>21</v>
      </c>
      <c r="H139" s="2">
        <f>IF(C139="Dynasty Autographs",Calculator!$E$4,IF(C139="Debut Day Inscriptions",Calculator!$E$5,IFERROR(VALUE(SUBSTITUTE(F139,"/","")),0)))</f>
        <v>10</v>
      </c>
      <c r="I139" s="2">
        <f t="shared" si="14"/>
        <v>0</v>
      </c>
      <c r="J139" s="2">
        <f t="shared" si="15"/>
        <v>0</v>
      </c>
      <c r="K139" s="2">
        <f t="shared" si="16"/>
        <v>0</v>
      </c>
      <c r="L139" s="2">
        <f t="shared" si="17"/>
        <v>10</v>
      </c>
      <c r="M139" s="2">
        <f t="shared" si="18"/>
        <v>5</v>
      </c>
      <c r="N139" s="2">
        <f t="shared" si="19"/>
        <v>1</v>
      </c>
      <c r="O139" s="2">
        <f t="shared" si="20"/>
        <v>16</v>
      </c>
    </row>
    <row r="140" spans="1:15" x14ac:dyDescent="0.35">
      <c r="A140" s="2" t="s">
        <v>58</v>
      </c>
      <c r="B140" s="2" t="s">
        <v>136</v>
      </c>
      <c r="C140" s="2" t="s">
        <v>163</v>
      </c>
      <c r="D140" s="2" t="s">
        <v>164</v>
      </c>
      <c r="E140" s="2" t="s">
        <v>244</v>
      </c>
      <c r="F140" s="2" t="s">
        <v>20</v>
      </c>
      <c r="G140" s="2" t="s">
        <v>21</v>
      </c>
      <c r="H140" s="2">
        <f>IF(C140="Dynasty Autographs",Calculator!$E$4,IF(C140="Debut Day Inscriptions",Calculator!$E$5,IFERROR(VALUE(SUBSTITUTE(F140,"/","")),0)))</f>
        <v>10</v>
      </c>
      <c r="I140" s="2">
        <f t="shared" si="14"/>
        <v>0</v>
      </c>
      <c r="J140" s="2">
        <f t="shared" si="15"/>
        <v>0</v>
      </c>
      <c r="K140" s="2">
        <f t="shared" si="16"/>
        <v>0</v>
      </c>
      <c r="L140" s="2">
        <f t="shared" si="17"/>
        <v>10</v>
      </c>
      <c r="M140" s="2">
        <f t="shared" si="18"/>
        <v>5</v>
      </c>
      <c r="N140" s="2">
        <f t="shared" si="19"/>
        <v>1</v>
      </c>
      <c r="O140" s="2">
        <f t="shared" si="20"/>
        <v>16</v>
      </c>
    </row>
    <row r="141" spans="1:15" x14ac:dyDescent="0.35">
      <c r="A141" s="2" t="s">
        <v>58</v>
      </c>
      <c r="B141" s="2" t="s">
        <v>136</v>
      </c>
      <c r="C141" s="2" t="s">
        <v>163</v>
      </c>
      <c r="D141" s="2" t="s">
        <v>164</v>
      </c>
      <c r="E141" s="2" t="s">
        <v>245</v>
      </c>
      <c r="F141" s="2" t="s">
        <v>20</v>
      </c>
      <c r="G141" s="2" t="s">
        <v>21</v>
      </c>
      <c r="H141" s="2">
        <f>IF(C141="Dynasty Autographs",Calculator!$E$4,IF(C141="Debut Day Inscriptions",Calculator!$E$5,IFERROR(VALUE(SUBSTITUTE(F141,"/","")),0)))</f>
        <v>10</v>
      </c>
      <c r="I141" s="2">
        <f t="shared" si="14"/>
        <v>0</v>
      </c>
      <c r="J141" s="2">
        <f t="shared" si="15"/>
        <v>0</v>
      </c>
      <c r="K141" s="2">
        <f t="shared" si="16"/>
        <v>0</v>
      </c>
      <c r="L141" s="2">
        <f t="shared" si="17"/>
        <v>10</v>
      </c>
      <c r="M141" s="2">
        <f t="shared" si="18"/>
        <v>5</v>
      </c>
      <c r="N141" s="2">
        <f t="shared" si="19"/>
        <v>1</v>
      </c>
      <c r="O141" s="2">
        <f t="shared" si="20"/>
        <v>16</v>
      </c>
    </row>
    <row r="142" spans="1:15" x14ac:dyDescent="0.35">
      <c r="A142" s="2" t="s">
        <v>58</v>
      </c>
      <c r="B142" s="2" t="s">
        <v>136</v>
      </c>
      <c r="C142" s="2" t="s">
        <v>163</v>
      </c>
      <c r="D142" s="2" t="s">
        <v>164</v>
      </c>
      <c r="E142" s="2" t="s">
        <v>246</v>
      </c>
      <c r="F142" s="2" t="s">
        <v>20</v>
      </c>
      <c r="G142" s="2" t="s">
        <v>21</v>
      </c>
      <c r="H142" s="2">
        <f>IF(C142="Dynasty Autographs",Calculator!$E$4,IF(C142="Debut Day Inscriptions",Calculator!$E$5,IFERROR(VALUE(SUBSTITUTE(F142,"/","")),0)))</f>
        <v>10</v>
      </c>
      <c r="I142" s="2">
        <f t="shared" si="14"/>
        <v>0</v>
      </c>
      <c r="J142" s="2">
        <f t="shared" si="15"/>
        <v>0</v>
      </c>
      <c r="K142" s="2">
        <f t="shared" si="16"/>
        <v>0</v>
      </c>
      <c r="L142" s="2">
        <f t="shared" si="17"/>
        <v>10</v>
      </c>
      <c r="M142" s="2">
        <f t="shared" si="18"/>
        <v>5</v>
      </c>
      <c r="N142" s="2">
        <f t="shared" si="19"/>
        <v>1</v>
      </c>
      <c r="O142" s="2">
        <f t="shared" si="20"/>
        <v>16</v>
      </c>
    </row>
    <row r="143" spans="1:15" x14ac:dyDescent="0.35">
      <c r="A143" s="2" t="s">
        <v>38</v>
      </c>
      <c r="B143" s="2" t="s">
        <v>39</v>
      </c>
      <c r="C143" s="2" t="s">
        <v>163</v>
      </c>
      <c r="D143" s="2" t="s">
        <v>164</v>
      </c>
      <c r="E143" s="2" t="s">
        <v>247</v>
      </c>
      <c r="F143" s="2" t="s">
        <v>20</v>
      </c>
      <c r="G143" s="2" t="s">
        <v>21</v>
      </c>
      <c r="H143" s="2">
        <f>IF(C143="Dynasty Autographs",Calculator!$E$4,IF(C143="Debut Day Inscriptions",Calculator!$E$5,IFERROR(VALUE(SUBSTITUTE(F143,"/","")),0)))</f>
        <v>10</v>
      </c>
      <c r="I143" s="2">
        <f t="shared" si="14"/>
        <v>0</v>
      </c>
      <c r="J143" s="2">
        <f t="shared" si="15"/>
        <v>0</v>
      </c>
      <c r="K143" s="2">
        <f t="shared" si="16"/>
        <v>0</v>
      </c>
      <c r="L143" s="2">
        <f t="shared" si="17"/>
        <v>10</v>
      </c>
      <c r="M143" s="2">
        <f t="shared" si="18"/>
        <v>5</v>
      </c>
      <c r="N143" s="2">
        <f t="shared" si="19"/>
        <v>1</v>
      </c>
      <c r="O143" s="2">
        <f t="shared" si="20"/>
        <v>16</v>
      </c>
    </row>
    <row r="144" spans="1:15" x14ac:dyDescent="0.35">
      <c r="A144" s="2" t="s">
        <v>38</v>
      </c>
      <c r="B144" s="2" t="s">
        <v>39</v>
      </c>
      <c r="C144" s="2" t="s">
        <v>163</v>
      </c>
      <c r="D144" s="2" t="s">
        <v>164</v>
      </c>
      <c r="E144" s="2" t="s">
        <v>248</v>
      </c>
      <c r="F144" s="2" t="s">
        <v>20</v>
      </c>
      <c r="G144" s="2" t="s">
        <v>21</v>
      </c>
      <c r="H144" s="2">
        <f>IF(C144="Dynasty Autographs",Calculator!$E$4,IF(C144="Debut Day Inscriptions",Calculator!$E$5,IFERROR(VALUE(SUBSTITUTE(F144,"/","")),0)))</f>
        <v>10</v>
      </c>
      <c r="I144" s="2">
        <f t="shared" si="14"/>
        <v>0</v>
      </c>
      <c r="J144" s="2">
        <f t="shared" si="15"/>
        <v>0</v>
      </c>
      <c r="K144" s="2">
        <f t="shared" si="16"/>
        <v>0</v>
      </c>
      <c r="L144" s="2">
        <f t="shared" si="17"/>
        <v>10</v>
      </c>
      <c r="M144" s="2">
        <f t="shared" si="18"/>
        <v>5</v>
      </c>
      <c r="N144" s="2">
        <f t="shared" si="19"/>
        <v>1</v>
      </c>
      <c r="O144" s="2">
        <f t="shared" si="20"/>
        <v>16</v>
      </c>
    </row>
    <row r="145" spans="1:15" x14ac:dyDescent="0.35">
      <c r="A145" s="2" t="s">
        <v>38</v>
      </c>
      <c r="B145" s="2" t="s">
        <v>39</v>
      </c>
      <c r="C145" s="2" t="s">
        <v>163</v>
      </c>
      <c r="D145" s="2" t="s">
        <v>164</v>
      </c>
      <c r="E145" s="2" t="s">
        <v>249</v>
      </c>
      <c r="F145" s="2" t="s">
        <v>20</v>
      </c>
      <c r="G145" s="2" t="s">
        <v>21</v>
      </c>
      <c r="H145" s="2">
        <f>IF(C145="Dynasty Autographs",Calculator!$E$4,IF(C145="Debut Day Inscriptions",Calculator!$E$5,IFERROR(VALUE(SUBSTITUTE(F145,"/","")),0)))</f>
        <v>10</v>
      </c>
      <c r="I145" s="2">
        <f t="shared" si="14"/>
        <v>0</v>
      </c>
      <c r="J145" s="2">
        <f t="shared" si="15"/>
        <v>0</v>
      </c>
      <c r="K145" s="2">
        <f t="shared" si="16"/>
        <v>0</v>
      </c>
      <c r="L145" s="2">
        <f t="shared" si="17"/>
        <v>10</v>
      </c>
      <c r="M145" s="2">
        <f t="shared" si="18"/>
        <v>5</v>
      </c>
      <c r="N145" s="2">
        <f t="shared" si="19"/>
        <v>1</v>
      </c>
      <c r="O145" s="2">
        <f t="shared" si="20"/>
        <v>16</v>
      </c>
    </row>
    <row r="146" spans="1:15" x14ac:dyDescent="0.35">
      <c r="A146" s="2" t="s">
        <v>38</v>
      </c>
      <c r="B146" s="2" t="s">
        <v>39</v>
      </c>
      <c r="C146" s="2" t="s">
        <v>163</v>
      </c>
      <c r="D146" s="2" t="s">
        <v>164</v>
      </c>
      <c r="E146" s="2" t="s">
        <v>250</v>
      </c>
      <c r="F146" s="2" t="s">
        <v>20</v>
      </c>
      <c r="G146" s="2" t="s">
        <v>21</v>
      </c>
      <c r="H146" s="2">
        <f>IF(C146="Dynasty Autographs",Calculator!$E$4,IF(C146="Debut Day Inscriptions",Calculator!$E$5,IFERROR(VALUE(SUBSTITUTE(F146,"/","")),0)))</f>
        <v>10</v>
      </c>
      <c r="I146" s="2">
        <f t="shared" si="14"/>
        <v>0</v>
      </c>
      <c r="J146" s="2">
        <f t="shared" si="15"/>
        <v>0</v>
      </c>
      <c r="K146" s="2">
        <f t="shared" si="16"/>
        <v>0</v>
      </c>
      <c r="L146" s="2">
        <f t="shared" si="17"/>
        <v>10</v>
      </c>
      <c r="M146" s="2">
        <f t="shared" si="18"/>
        <v>5</v>
      </c>
      <c r="N146" s="2">
        <f t="shared" si="19"/>
        <v>1</v>
      </c>
      <c r="O146" s="2">
        <f t="shared" si="20"/>
        <v>16</v>
      </c>
    </row>
    <row r="147" spans="1:15" x14ac:dyDescent="0.35">
      <c r="A147" s="2" t="s">
        <v>177</v>
      </c>
      <c r="B147" s="2" t="s">
        <v>136</v>
      </c>
      <c r="C147" s="2" t="s">
        <v>163</v>
      </c>
      <c r="D147" s="2" t="s">
        <v>164</v>
      </c>
      <c r="E147" s="2" t="s">
        <v>251</v>
      </c>
      <c r="F147" s="2" t="s">
        <v>20</v>
      </c>
      <c r="G147" s="2" t="s">
        <v>21</v>
      </c>
      <c r="H147" s="2">
        <f>IF(C147="Dynasty Autographs",Calculator!$E$4,IF(C147="Debut Day Inscriptions",Calculator!$E$5,IFERROR(VALUE(SUBSTITUTE(F147,"/","")),0)))</f>
        <v>10</v>
      </c>
      <c r="I147" s="2">
        <f t="shared" si="14"/>
        <v>0</v>
      </c>
      <c r="J147" s="2">
        <f t="shared" si="15"/>
        <v>0</v>
      </c>
      <c r="K147" s="2">
        <f t="shared" si="16"/>
        <v>0</v>
      </c>
      <c r="L147" s="2">
        <f t="shared" si="17"/>
        <v>10</v>
      </c>
      <c r="M147" s="2">
        <f t="shared" si="18"/>
        <v>5</v>
      </c>
      <c r="N147" s="2">
        <f t="shared" si="19"/>
        <v>1</v>
      </c>
      <c r="O147" s="2">
        <f t="shared" si="20"/>
        <v>16</v>
      </c>
    </row>
    <row r="148" spans="1:15" x14ac:dyDescent="0.35">
      <c r="A148" s="2" t="s">
        <v>177</v>
      </c>
      <c r="B148" s="2" t="s">
        <v>136</v>
      </c>
      <c r="C148" s="2" t="s">
        <v>163</v>
      </c>
      <c r="D148" s="2" t="s">
        <v>164</v>
      </c>
      <c r="E148" s="2" t="s">
        <v>252</v>
      </c>
      <c r="F148" s="2" t="s">
        <v>20</v>
      </c>
      <c r="G148" s="2" t="s">
        <v>21</v>
      </c>
      <c r="H148" s="2">
        <f>IF(C148="Dynasty Autographs",Calculator!$E$4,IF(C148="Debut Day Inscriptions",Calculator!$E$5,IFERROR(VALUE(SUBSTITUTE(F148,"/","")),0)))</f>
        <v>10</v>
      </c>
      <c r="I148" s="2">
        <f t="shared" si="14"/>
        <v>0</v>
      </c>
      <c r="J148" s="2">
        <f t="shared" si="15"/>
        <v>0</v>
      </c>
      <c r="K148" s="2">
        <f t="shared" si="16"/>
        <v>0</v>
      </c>
      <c r="L148" s="2">
        <f t="shared" si="17"/>
        <v>10</v>
      </c>
      <c r="M148" s="2">
        <f t="shared" si="18"/>
        <v>5</v>
      </c>
      <c r="N148" s="2">
        <f t="shared" si="19"/>
        <v>1</v>
      </c>
      <c r="O148" s="2">
        <f t="shared" si="20"/>
        <v>16</v>
      </c>
    </row>
    <row r="149" spans="1:15" x14ac:dyDescent="0.35">
      <c r="A149" s="2" t="s">
        <v>124</v>
      </c>
      <c r="B149" s="2" t="s">
        <v>26</v>
      </c>
      <c r="C149" s="2" t="s">
        <v>163</v>
      </c>
      <c r="D149" s="2" t="s">
        <v>164</v>
      </c>
      <c r="E149" s="2" t="s">
        <v>253</v>
      </c>
      <c r="F149" s="2" t="s">
        <v>20</v>
      </c>
      <c r="G149" s="2" t="s">
        <v>21</v>
      </c>
      <c r="H149" s="2">
        <f>IF(C149="Dynasty Autographs",Calculator!$E$4,IF(C149="Debut Day Inscriptions",Calculator!$E$5,IFERROR(VALUE(SUBSTITUTE(F149,"/","")),0)))</f>
        <v>10</v>
      </c>
      <c r="I149" s="2">
        <f t="shared" si="14"/>
        <v>0</v>
      </c>
      <c r="J149" s="2">
        <f t="shared" si="15"/>
        <v>0</v>
      </c>
      <c r="K149" s="2">
        <f t="shared" si="16"/>
        <v>0</v>
      </c>
      <c r="L149" s="2">
        <f t="shared" si="17"/>
        <v>10</v>
      </c>
      <c r="M149" s="2">
        <f t="shared" si="18"/>
        <v>5</v>
      </c>
      <c r="N149" s="2">
        <f t="shared" si="19"/>
        <v>1</v>
      </c>
      <c r="O149" s="2">
        <f t="shared" si="20"/>
        <v>16</v>
      </c>
    </row>
    <row r="150" spans="1:15" x14ac:dyDescent="0.35">
      <c r="A150" s="2" t="s">
        <v>124</v>
      </c>
      <c r="B150" s="2" t="s">
        <v>26</v>
      </c>
      <c r="C150" s="2" t="s">
        <v>163</v>
      </c>
      <c r="D150" s="2" t="s">
        <v>164</v>
      </c>
      <c r="E150" s="2" t="s">
        <v>254</v>
      </c>
      <c r="F150" s="2" t="s">
        <v>20</v>
      </c>
      <c r="G150" s="2" t="s">
        <v>21</v>
      </c>
      <c r="H150" s="2">
        <f>IF(C150="Dynasty Autographs",Calculator!$E$4,IF(C150="Debut Day Inscriptions",Calculator!$E$5,IFERROR(VALUE(SUBSTITUTE(F150,"/","")),0)))</f>
        <v>10</v>
      </c>
      <c r="I150" s="2">
        <f t="shared" si="14"/>
        <v>0</v>
      </c>
      <c r="J150" s="2">
        <f t="shared" si="15"/>
        <v>0</v>
      </c>
      <c r="K150" s="2">
        <f t="shared" si="16"/>
        <v>0</v>
      </c>
      <c r="L150" s="2">
        <f t="shared" si="17"/>
        <v>10</v>
      </c>
      <c r="M150" s="2">
        <f t="shared" si="18"/>
        <v>5</v>
      </c>
      <c r="N150" s="2">
        <f t="shared" si="19"/>
        <v>1</v>
      </c>
      <c r="O150" s="2">
        <f t="shared" si="20"/>
        <v>16</v>
      </c>
    </row>
    <row r="151" spans="1:15" x14ac:dyDescent="0.35">
      <c r="A151" s="2" t="s">
        <v>124</v>
      </c>
      <c r="B151" s="2" t="s">
        <v>26</v>
      </c>
      <c r="C151" s="2" t="s">
        <v>163</v>
      </c>
      <c r="D151" s="2" t="s">
        <v>164</v>
      </c>
      <c r="E151" s="2" t="s">
        <v>255</v>
      </c>
      <c r="F151" s="2" t="s">
        <v>20</v>
      </c>
      <c r="G151" s="2" t="s">
        <v>21</v>
      </c>
      <c r="H151" s="2">
        <f>IF(C151="Dynasty Autographs",Calculator!$E$4,IF(C151="Debut Day Inscriptions",Calculator!$E$5,IFERROR(VALUE(SUBSTITUTE(F151,"/","")),0)))</f>
        <v>10</v>
      </c>
      <c r="I151" s="2">
        <f t="shared" si="14"/>
        <v>0</v>
      </c>
      <c r="J151" s="2">
        <f t="shared" si="15"/>
        <v>0</v>
      </c>
      <c r="K151" s="2">
        <f t="shared" si="16"/>
        <v>0</v>
      </c>
      <c r="L151" s="2">
        <f t="shared" si="17"/>
        <v>10</v>
      </c>
      <c r="M151" s="2">
        <f t="shared" si="18"/>
        <v>5</v>
      </c>
      <c r="N151" s="2">
        <f t="shared" si="19"/>
        <v>1</v>
      </c>
      <c r="O151" s="2">
        <f t="shared" si="20"/>
        <v>16</v>
      </c>
    </row>
    <row r="152" spans="1:15" x14ac:dyDescent="0.35">
      <c r="A152" s="2" t="s">
        <v>56</v>
      </c>
      <c r="B152" s="2" t="s">
        <v>23</v>
      </c>
      <c r="C152" s="2" t="s">
        <v>163</v>
      </c>
      <c r="D152" s="2" t="s">
        <v>164</v>
      </c>
      <c r="E152" s="2" t="s">
        <v>256</v>
      </c>
      <c r="F152" s="2" t="s">
        <v>20</v>
      </c>
      <c r="G152" s="2" t="s">
        <v>21</v>
      </c>
      <c r="H152" s="2">
        <f>IF(C152="Dynasty Autographs",Calculator!$E$4,IF(C152="Debut Day Inscriptions",Calculator!$E$5,IFERROR(VALUE(SUBSTITUTE(F152,"/","")),0)))</f>
        <v>10</v>
      </c>
      <c r="I152" s="2">
        <f t="shared" si="14"/>
        <v>0</v>
      </c>
      <c r="J152" s="2">
        <f t="shared" si="15"/>
        <v>0</v>
      </c>
      <c r="K152" s="2">
        <f t="shared" si="16"/>
        <v>0</v>
      </c>
      <c r="L152" s="2">
        <f t="shared" si="17"/>
        <v>10</v>
      </c>
      <c r="M152" s="2">
        <f t="shared" si="18"/>
        <v>5</v>
      </c>
      <c r="N152" s="2">
        <f t="shared" si="19"/>
        <v>1</v>
      </c>
      <c r="O152" s="2">
        <f t="shared" si="20"/>
        <v>16</v>
      </c>
    </row>
    <row r="153" spans="1:15" x14ac:dyDescent="0.35">
      <c r="A153" s="2" t="s">
        <v>56</v>
      </c>
      <c r="B153" s="2" t="s">
        <v>23</v>
      </c>
      <c r="C153" s="2" t="s">
        <v>163</v>
      </c>
      <c r="D153" s="2" t="s">
        <v>164</v>
      </c>
      <c r="E153" s="2" t="s">
        <v>257</v>
      </c>
      <c r="F153" s="2" t="s">
        <v>20</v>
      </c>
      <c r="G153" s="2" t="s">
        <v>21</v>
      </c>
      <c r="H153" s="2">
        <f>IF(C153="Dynasty Autographs",Calculator!$E$4,IF(C153="Debut Day Inscriptions",Calculator!$E$5,IFERROR(VALUE(SUBSTITUTE(F153,"/","")),0)))</f>
        <v>10</v>
      </c>
      <c r="I153" s="2">
        <f t="shared" si="14"/>
        <v>0</v>
      </c>
      <c r="J153" s="2">
        <f t="shared" si="15"/>
        <v>0</v>
      </c>
      <c r="K153" s="2">
        <f t="shared" si="16"/>
        <v>0</v>
      </c>
      <c r="L153" s="2">
        <f t="shared" si="17"/>
        <v>10</v>
      </c>
      <c r="M153" s="2">
        <f t="shared" si="18"/>
        <v>5</v>
      </c>
      <c r="N153" s="2">
        <f t="shared" si="19"/>
        <v>1</v>
      </c>
      <c r="O153" s="2">
        <f t="shared" si="20"/>
        <v>16</v>
      </c>
    </row>
    <row r="154" spans="1:15" x14ac:dyDescent="0.35">
      <c r="A154" s="2" t="s">
        <v>56</v>
      </c>
      <c r="B154" s="2" t="s">
        <v>23</v>
      </c>
      <c r="C154" s="2" t="s">
        <v>163</v>
      </c>
      <c r="D154" s="2" t="s">
        <v>164</v>
      </c>
      <c r="E154" s="2" t="s">
        <v>258</v>
      </c>
      <c r="F154" s="2" t="s">
        <v>20</v>
      </c>
      <c r="G154" s="2" t="s">
        <v>21</v>
      </c>
      <c r="H154" s="2">
        <f>IF(C154="Dynasty Autographs",Calculator!$E$4,IF(C154="Debut Day Inscriptions",Calculator!$E$5,IFERROR(VALUE(SUBSTITUTE(F154,"/","")),0)))</f>
        <v>10</v>
      </c>
      <c r="I154" s="2">
        <f t="shared" si="14"/>
        <v>0</v>
      </c>
      <c r="J154" s="2">
        <f t="shared" si="15"/>
        <v>0</v>
      </c>
      <c r="K154" s="2">
        <f t="shared" si="16"/>
        <v>0</v>
      </c>
      <c r="L154" s="2">
        <f t="shared" si="17"/>
        <v>10</v>
      </c>
      <c r="M154" s="2">
        <f t="shared" si="18"/>
        <v>5</v>
      </c>
      <c r="N154" s="2">
        <f t="shared" si="19"/>
        <v>1</v>
      </c>
      <c r="O154" s="2">
        <f t="shared" si="20"/>
        <v>16</v>
      </c>
    </row>
    <row r="155" spans="1:15" x14ac:dyDescent="0.35">
      <c r="A155" s="2" t="s">
        <v>56</v>
      </c>
      <c r="B155" s="2" t="s">
        <v>23</v>
      </c>
      <c r="C155" s="2" t="s">
        <v>163</v>
      </c>
      <c r="D155" s="2" t="s">
        <v>164</v>
      </c>
      <c r="E155" s="2" t="s">
        <v>259</v>
      </c>
      <c r="F155" s="2" t="s">
        <v>20</v>
      </c>
      <c r="G155" s="2" t="s">
        <v>21</v>
      </c>
      <c r="H155" s="2">
        <f>IF(C155="Dynasty Autographs",Calculator!$E$4,IF(C155="Debut Day Inscriptions",Calculator!$E$5,IFERROR(VALUE(SUBSTITUTE(F155,"/","")),0)))</f>
        <v>10</v>
      </c>
      <c r="I155" s="2">
        <f t="shared" si="14"/>
        <v>0</v>
      </c>
      <c r="J155" s="2">
        <f t="shared" si="15"/>
        <v>0</v>
      </c>
      <c r="K155" s="2">
        <f t="shared" si="16"/>
        <v>0</v>
      </c>
      <c r="L155" s="2">
        <f t="shared" si="17"/>
        <v>10</v>
      </c>
      <c r="M155" s="2">
        <f t="shared" si="18"/>
        <v>5</v>
      </c>
      <c r="N155" s="2">
        <f t="shared" si="19"/>
        <v>1</v>
      </c>
      <c r="O155" s="2">
        <f t="shared" si="20"/>
        <v>16</v>
      </c>
    </row>
    <row r="156" spans="1:15" x14ac:dyDescent="0.35">
      <c r="A156" s="2" t="s">
        <v>260</v>
      </c>
      <c r="B156" s="2" t="s">
        <v>42</v>
      </c>
      <c r="C156" s="2" t="s">
        <v>163</v>
      </c>
      <c r="D156" s="2" t="s">
        <v>164</v>
      </c>
      <c r="E156" s="2" t="s">
        <v>261</v>
      </c>
      <c r="F156" s="2" t="s">
        <v>20</v>
      </c>
      <c r="G156" s="2" t="s">
        <v>21</v>
      </c>
      <c r="H156" s="2">
        <f>IF(C156="Dynasty Autographs",Calculator!$E$4,IF(C156="Debut Day Inscriptions",Calculator!$E$5,IFERROR(VALUE(SUBSTITUTE(F156,"/","")),0)))</f>
        <v>10</v>
      </c>
      <c r="I156" s="2">
        <f t="shared" si="14"/>
        <v>0</v>
      </c>
      <c r="J156" s="2">
        <f t="shared" si="15"/>
        <v>0</v>
      </c>
      <c r="K156" s="2">
        <f t="shared" si="16"/>
        <v>0</v>
      </c>
      <c r="L156" s="2">
        <f t="shared" si="17"/>
        <v>10</v>
      </c>
      <c r="M156" s="2">
        <f t="shared" si="18"/>
        <v>5</v>
      </c>
      <c r="N156" s="2">
        <f t="shared" si="19"/>
        <v>1</v>
      </c>
      <c r="O156" s="2">
        <f t="shared" si="20"/>
        <v>16</v>
      </c>
    </row>
    <row r="157" spans="1:15" x14ac:dyDescent="0.35">
      <c r="A157" s="2" t="s">
        <v>260</v>
      </c>
      <c r="B157" s="2" t="s">
        <v>42</v>
      </c>
      <c r="C157" s="2" t="s">
        <v>163</v>
      </c>
      <c r="D157" s="2" t="s">
        <v>164</v>
      </c>
      <c r="E157" s="2" t="s">
        <v>262</v>
      </c>
      <c r="F157" s="2" t="s">
        <v>20</v>
      </c>
      <c r="G157" s="2" t="s">
        <v>21</v>
      </c>
      <c r="H157" s="2">
        <f>IF(C157="Dynasty Autographs",Calculator!$E$4,IF(C157="Debut Day Inscriptions",Calculator!$E$5,IFERROR(VALUE(SUBSTITUTE(F157,"/","")),0)))</f>
        <v>10</v>
      </c>
      <c r="I157" s="2">
        <f t="shared" si="14"/>
        <v>0</v>
      </c>
      <c r="J157" s="2">
        <f t="shared" si="15"/>
        <v>0</v>
      </c>
      <c r="K157" s="2">
        <f t="shared" si="16"/>
        <v>0</v>
      </c>
      <c r="L157" s="2">
        <f t="shared" si="17"/>
        <v>10</v>
      </c>
      <c r="M157" s="2">
        <f t="shared" si="18"/>
        <v>5</v>
      </c>
      <c r="N157" s="2">
        <f t="shared" si="19"/>
        <v>1</v>
      </c>
      <c r="O157" s="2">
        <f t="shared" si="20"/>
        <v>16</v>
      </c>
    </row>
    <row r="158" spans="1:15" x14ac:dyDescent="0.35">
      <c r="A158" s="2" t="s">
        <v>260</v>
      </c>
      <c r="B158" s="2" t="s">
        <v>42</v>
      </c>
      <c r="C158" s="2" t="s">
        <v>163</v>
      </c>
      <c r="D158" s="2" t="s">
        <v>164</v>
      </c>
      <c r="E158" s="2" t="s">
        <v>263</v>
      </c>
      <c r="F158" s="2" t="s">
        <v>20</v>
      </c>
      <c r="G158" s="2" t="s">
        <v>21</v>
      </c>
      <c r="H158" s="2">
        <f>IF(C158="Dynasty Autographs",Calculator!$E$4,IF(C158="Debut Day Inscriptions",Calculator!$E$5,IFERROR(VALUE(SUBSTITUTE(F158,"/","")),0)))</f>
        <v>10</v>
      </c>
      <c r="I158" s="2">
        <f t="shared" si="14"/>
        <v>0</v>
      </c>
      <c r="J158" s="2">
        <f t="shared" si="15"/>
        <v>0</v>
      </c>
      <c r="K158" s="2">
        <f t="shared" si="16"/>
        <v>0</v>
      </c>
      <c r="L158" s="2">
        <f t="shared" si="17"/>
        <v>10</v>
      </c>
      <c r="M158" s="2">
        <f t="shared" si="18"/>
        <v>5</v>
      </c>
      <c r="N158" s="2">
        <f t="shared" si="19"/>
        <v>1</v>
      </c>
      <c r="O158" s="2">
        <f t="shared" si="20"/>
        <v>16</v>
      </c>
    </row>
    <row r="159" spans="1:15" x14ac:dyDescent="0.35">
      <c r="A159" s="2" t="s">
        <v>58</v>
      </c>
      <c r="B159" s="2" t="s">
        <v>42</v>
      </c>
      <c r="C159" s="2" t="s">
        <v>163</v>
      </c>
      <c r="D159" s="2" t="s">
        <v>164</v>
      </c>
      <c r="E159" s="2" t="s">
        <v>264</v>
      </c>
      <c r="F159" s="2" t="s">
        <v>20</v>
      </c>
      <c r="G159" s="2" t="s">
        <v>21</v>
      </c>
      <c r="H159" s="2">
        <f>IF(C159="Dynasty Autographs",Calculator!$E$4,IF(C159="Debut Day Inscriptions",Calculator!$E$5,IFERROR(VALUE(SUBSTITUTE(F159,"/","")),0)))</f>
        <v>10</v>
      </c>
      <c r="I159" s="2">
        <f t="shared" si="14"/>
        <v>0</v>
      </c>
      <c r="J159" s="2">
        <f t="shared" si="15"/>
        <v>0</v>
      </c>
      <c r="K159" s="2">
        <f t="shared" si="16"/>
        <v>0</v>
      </c>
      <c r="L159" s="2">
        <f t="shared" si="17"/>
        <v>10</v>
      </c>
      <c r="M159" s="2">
        <f t="shared" si="18"/>
        <v>5</v>
      </c>
      <c r="N159" s="2">
        <f t="shared" si="19"/>
        <v>1</v>
      </c>
      <c r="O159" s="2">
        <f t="shared" si="20"/>
        <v>16</v>
      </c>
    </row>
    <row r="160" spans="1:15" x14ac:dyDescent="0.35">
      <c r="A160" s="2" t="s">
        <v>58</v>
      </c>
      <c r="B160" s="2" t="s">
        <v>42</v>
      </c>
      <c r="C160" s="2" t="s">
        <v>163</v>
      </c>
      <c r="D160" s="2" t="s">
        <v>164</v>
      </c>
      <c r="E160" s="2" t="s">
        <v>265</v>
      </c>
      <c r="F160" s="2" t="s">
        <v>20</v>
      </c>
      <c r="G160" s="2" t="s">
        <v>21</v>
      </c>
      <c r="H160" s="2">
        <f>IF(C160="Dynasty Autographs",Calculator!$E$4,IF(C160="Debut Day Inscriptions",Calculator!$E$5,IFERROR(VALUE(SUBSTITUTE(F160,"/","")),0)))</f>
        <v>10</v>
      </c>
      <c r="I160" s="2">
        <f t="shared" si="14"/>
        <v>0</v>
      </c>
      <c r="J160" s="2">
        <f t="shared" si="15"/>
        <v>0</v>
      </c>
      <c r="K160" s="2">
        <f t="shared" si="16"/>
        <v>0</v>
      </c>
      <c r="L160" s="2">
        <f t="shared" si="17"/>
        <v>10</v>
      </c>
      <c r="M160" s="2">
        <f t="shared" si="18"/>
        <v>5</v>
      </c>
      <c r="N160" s="2">
        <f t="shared" si="19"/>
        <v>1</v>
      </c>
      <c r="O160" s="2">
        <f t="shared" si="20"/>
        <v>16</v>
      </c>
    </row>
    <row r="161" spans="1:15" x14ac:dyDescent="0.35">
      <c r="A161" s="2" t="s">
        <v>58</v>
      </c>
      <c r="B161" s="2" t="s">
        <v>42</v>
      </c>
      <c r="C161" s="2" t="s">
        <v>163</v>
      </c>
      <c r="D161" s="2" t="s">
        <v>164</v>
      </c>
      <c r="E161" s="2" t="s">
        <v>266</v>
      </c>
      <c r="F161" s="2" t="s">
        <v>20</v>
      </c>
      <c r="G161" s="2" t="s">
        <v>21</v>
      </c>
      <c r="H161" s="2">
        <f>IF(C161="Dynasty Autographs",Calculator!$E$4,IF(C161="Debut Day Inscriptions",Calculator!$E$5,IFERROR(VALUE(SUBSTITUTE(F161,"/","")),0)))</f>
        <v>10</v>
      </c>
      <c r="I161" s="2">
        <f t="shared" si="14"/>
        <v>0</v>
      </c>
      <c r="J161" s="2">
        <f t="shared" si="15"/>
        <v>0</v>
      </c>
      <c r="K161" s="2">
        <f t="shared" si="16"/>
        <v>0</v>
      </c>
      <c r="L161" s="2">
        <f t="shared" si="17"/>
        <v>10</v>
      </c>
      <c r="M161" s="2">
        <f t="shared" si="18"/>
        <v>5</v>
      </c>
      <c r="N161" s="2">
        <f t="shared" si="19"/>
        <v>1</v>
      </c>
      <c r="O161" s="2">
        <f t="shared" si="20"/>
        <v>16</v>
      </c>
    </row>
    <row r="162" spans="1:15" x14ac:dyDescent="0.35">
      <c r="A162" s="2" t="s">
        <v>267</v>
      </c>
      <c r="B162" s="2" t="s">
        <v>52</v>
      </c>
      <c r="C162" s="2" t="s">
        <v>163</v>
      </c>
      <c r="D162" s="2" t="s">
        <v>164</v>
      </c>
      <c r="E162" s="2" t="s">
        <v>268</v>
      </c>
      <c r="F162" s="2" t="s">
        <v>20</v>
      </c>
      <c r="G162" s="2" t="s">
        <v>21</v>
      </c>
      <c r="H162" s="2">
        <f>IF(C162="Dynasty Autographs",Calculator!$E$4,IF(C162="Debut Day Inscriptions",Calculator!$E$5,IFERROR(VALUE(SUBSTITUTE(F162,"/","")),0)))</f>
        <v>10</v>
      </c>
      <c r="I162" s="2">
        <f t="shared" si="14"/>
        <v>0</v>
      </c>
      <c r="J162" s="2">
        <f t="shared" si="15"/>
        <v>0</v>
      </c>
      <c r="K162" s="2">
        <f t="shared" si="16"/>
        <v>0</v>
      </c>
      <c r="L162" s="2">
        <f t="shared" si="17"/>
        <v>10</v>
      </c>
      <c r="M162" s="2">
        <f t="shared" si="18"/>
        <v>5</v>
      </c>
      <c r="N162" s="2">
        <f t="shared" si="19"/>
        <v>1</v>
      </c>
      <c r="O162" s="2">
        <f t="shared" si="20"/>
        <v>16</v>
      </c>
    </row>
    <row r="163" spans="1:15" x14ac:dyDescent="0.35">
      <c r="A163" s="2" t="s">
        <v>267</v>
      </c>
      <c r="B163" s="2" t="s">
        <v>52</v>
      </c>
      <c r="C163" s="2" t="s">
        <v>163</v>
      </c>
      <c r="D163" s="2" t="s">
        <v>164</v>
      </c>
      <c r="E163" s="2" t="s">
        <v>269</v>
      </c>
      <c r="F163" s="2" t="s">
        <v>20</v>
      </c>
      <c r="G163" s="2" t="s">
        <v>21</v>
      </c>
      <c r="H163" s="2">
        <f>IF(C163="Dynasty Autographs",Calculator!$E$4,IF(C163="Debut Day Inscriptions",Calculator!$E$5,IFERROR(VALUE(SUBSTITUTE(F163,"/","")),0)))</f>
        <v>10</v>
      </c>
      <c r="I163" s="2">
        <f t="shared" si="14"/>
        <v>0</v>
      </c>
      <c r="J163" s="2">
        <f t="shared" si="15"/>
        <v>0</v>
      </c>
      <c r="K163" s="2">
        <f t="shared" si="16"/>
        <v>0</v>
      </c>
      <c r="L163" s="2">
        <f t="shared" si="17"/>
        <v>10</v>
      </c>
      <c r="M163" s="2">
        <f t="shared" si="18"/>
        <v>5</v>
      </c>
      <c r="N163" s="2">
        <f t="shared" si="19"/>
        <v>1</v>
      </c>
      <c r="O163" s="2">
        <f t="shared" si="20"/>
        <v>16</v>
      </c>
    </row>
    <row r="164" spans="1:15" x14ac:dyDescent="0.35">
      <c r="A164" s="2" t="s">
        <v>267</v>
      </c>
      <c r="B164" s="2" t="s">
        <v>52</v>
      </c>
      <c r="C164" s="2" t="s">
        <v>163</v>
      </c>
      <c r="D164" s="2" t="s">
        <v>164</v>
      </c>
      <c r="E164" s="2" t="s">
        <v>270</v>
      </c>
      <c r="F164" s="2" t="s">
        <v>20</v>
      </c>
      <c r="G164" s="2" t="s">
        <v>21</v>
      </c>
      <c r="H164" s="2">
        <f>IF(C164="Dynasty Autographs",Calculator!$E$4,IF(C164="Debut Day Inscriptions",Calculator!$E$5,IFERROR(VALUE(SUBSTITUTE(F164,"/","")),0)))</f>
        <v>10</v>
      </c>
      <c r="I164" s="2">
        <f t="shared" si="14"/>
        <v>0</v>
      </c>
      <c r="J164" s="2">
        <f t="shared" si="15"/>
        <v>0</v>
      </c>
      <c r="K164" s="2">
        <f t="shared" si="16"/>
        <v>0</v>
      </c>
      <c r="L164" s="2">
        <f t="shared" si="17"/>
        <v>10</v>
      </c>
      <c r="M164" s="2">
        <f t="shared" si="18"/>
        <v>5</v>
      </c>
      <c r="N164" s="2">
        <f t="shared" si="19"/>
        <v>1</v>
      </c>
      <c r="O164" s="2">
        <f t="shared" si="20"/>
        <v>16</v>
      </c>
    </row>
    <row r="165" spans="1:15" x14ac:dyDescent="0.35">
      <c r="A165" s="2" t="s">
        <v>267</v>
      </c>
      <c r="B165" s="2" t="s">
        <v>16</v>
      </c>
      <c r="C165" s="2" t="s">
        <v>163</v>
      </c>
      <c r="D165" s="2" t="s">
        <v>164</v>
      </c>
      <c r="E165" s="2" t="s">
        <v>271</v>
      </c>
      <c r="F165" s="2" t="s">
        <v>20</v>
      </c>
      <c r="G165" s="2" t="s">
        <v>21</v>
      </c>
      <c r="H165" s="2">
        <f>IF(C165="Dynasty Autographs",Calculator!$E$4,IF(C165="Debut Day Inscriptions",Calculator!$E$5,IFERROR(VALUE(SUBSTITUTE(F165,"/","")),0)))</f>
        <v>10</v>
      </c>
      <c r="I165" s="2">
        <f t="shared" si="14"/>
        <v>0</v>
      </c>
      <c r="J165" s="2">
        <f t="shared" si="15"/>
        <v>0</v>
      </c>
      <c r="K165" s="2">
        <f t="shared" si="16"/>
        <v>0</v>
      </c>
      <c r="L165" s="2">
        <f t="shared" si="17"/>
        <v>10</v>
      </c>
      <c r="M165" s="2">
        <f t="shared" si="18"/>
        <v>5</v>
      </c>
      <c r="N165" s="2">
        <f t="shared" si="19"/>
        <v>1</v>
      </c>
      <c r="O165" s="2">
        <f t="shared" si="20"/>
        <v>16</v>
      </c>
    </row>
    <row r="166" spans="1:15" x14ac:dyDescent="0.35">
      <c r="A166" s="2" t="s">
        <v>267</v>
      </c>
      <c r="B166" s="2" t="s">
        <v>16</v>
      </c>
      <c r="C166" s="2" t="s">
        <v>163</v>
      </c>
      <c r="D166" s="2" t="s">
        <v>164</v>
      </c>
      <c r="E166" s="2" t="s">
        <v>272</v>
      </c>
      <c r="F166" s="2" t="s">
        <v>20</v>
      </c>
      <c r="G166" s="2" t="s">
        <v>21</v>
      </c>
      <c r="H166" s="2">
        <f>IF(C166="Dynasty Autographs",Calculator!$E$4,IF(C166="Debut Day Inscriptions",Calculator!$E$5,IFERROR(VALUE(SUBSTITUTE(F166,"/","")),0)))</f>
        <v>10</v>
      </c>
      <c r="I166" s="2">
        <f t="shared" si="14"/>
        <v>0</v>
      </c>
      <c r="J166" s="2">
        <f t="shared" si="15"/>
        <v>0</v>
      </c>
      <c r="K166" s="2">
        <f t="shared" si="16"/>
        <v>0</v>
      </c>
      <c r="L166" s="2">
        <f t="shared" si="17"/>
        <v>10</v>
      </c>
      <c r="M166" s="2">
        <f t="shared" si="18"/>
        <v>5</v>
      </c>
      <c r="N166" s="2">
        <f t="shared" si="19"/>
        <v>1</v>
      </c>
      <c r="O166" s="2">
        <f t="shared" si="20"/>
        <v>16</v>
      </c>
    </row>
    <row r="167" spans="1:15" x14ac:dyDescent="0.35">
      <c r="A167" s="2" t="s">
        <v>267</v>
      </c>
      <c r="B167" s="2" t="s">
        <v>16</v>
      </c>
      <c r="C167" s="2" t="s">
        <v>163</v>
      </c>
      <c r="D167" s="2" t="s">
        <v>164</v>
      </c>
      <c r="E167" s="2" t="s">
        <v>273</v>
      </c>
      <c r="F167" s="2" t="s">
        <v>20</v>
      </c>
      <c r="G167" s="2" t="s">
        <v>21</v>
      </c>
      <c r="H167" s="2">
        <f>IF(C167="Dynasty Autographs",Calculator!$E$4,IF(C167="Debut Day Inscriptions",Calculator!$E$5,IFERROR(VALUE(SUBSTITUTE(F167,"/","")),0)))</f>
        <v>10</v>
      </c>
      <c r="I167" s="2">
        <f t="shared" si="14"/>
        <v>0</v>
      </c>
      <c r="J167" s="2">
        <f t="shared" si="15"/>
        <v>0</v>
      </c>
      <c r="K167" s="2">
        <f t="shared" si="16"/>
        <v>0</v>
      </c>
      <c r="L167" s="2">
        <f t="shared" si="17"/>
        <v>10</v>
      </c>
      <c r="M167" s="2">
        <f t="shared" si="18"/>
        <v>5</v>
      </c>
      <c r="N167" s="2">
        <f t="shared" si="19"/>
        <v>1</v>
      </c>
      <c r="O167" s="2">
        <f t="shared" si="20"/>
        <v>16</v>
      </c>
    </row>
    <row r="168" spans="1:15" x14ac:dyDescent="0.35">
      <c r="A168" s="2" t="s">
        <v>267</v>
      </c>
      <c r="B168" s="2" t="s">
        <v>16</v>
      </c>
      <c r="C168" s="2" t="s">
        <v>163</v>
      </c>
      <c r="D168" s="2" t="s">
        <v>164</v>
      </c>
      <c r="E168" s="2" t="s">
        <v>274</v>
      </c>
      <c r="F168" s="2" t="s">
        <v>20</v>
      </c>
      <c r="G168" s="2" t="s">
        <v>21</v>
      </c>
      <c r="H168" s="2">
        <f>IF(C168="Dynasty Autographs",Calculator!$E$4,IF(C168="Debut Day Inscriptions",Calculator!$E$5,IFERROR(VALUE(SUBSTITUTE(F168,"/","")),0)))</f>
        <v>10</v>
      </c>
      <c r="I168" s="2">
        <f t="shared" si="14"/>
        <v>0</v>
      </c>
      <c r="J168" s="2">
        <f t="shared" si="15"/>
        <v>0</v>
      </c>
      <c r="K168" s="2">
        <f t="shared" si="16"/>
        <v>0</v>
      </c>
      <c r="L168" s="2">
        <f t="shared" si="17"/>
        <v>10</v>
      </c>
      <c r="M168" s="2">
        <f t="shared" si="18"/>
        <v>5</v>
      </c>
      <c r="N168" s="2">
        <f t="shared" si="19"/>
        <v>1</v>
      </c>
      <c r="O168" s="2">
        <f t="shared" si="20"/>
        <v>16</v>
      </c>
    </row>
    <row r="169" spans="1:15" x14ac:dyDescent="0.35">
      <c r="A169" s="2" t="s">
        <v>134</v>
      </c>
      <c r="B169" s="2" t="s">
        <v>63</v>
      </c>
      <c r="C169" s="2" t="s">
        <v>163</v>
      </c>
      <c r="D169" s="2" t="s">
        <v>164</v>
      </c>
      <c r="E169" s="2" t="s">
        <v>275</v>
      </c>
      <c r="F169" s="2" t="s">
        <v>20</v>
      </c>
      <c r="G169" s="2" t="s">
        <v>21</v>
      </c>
      <c r="H169" s="2">
        <f>IF(C169="Dynasty Autographs",Calculator!$E$4,IF(C169="Debut Day Inscriptions",Calculator!$E$5,IFERROR(VALUE(SUBSTITUTE(F169,"/","")),0)))</f>
        <v>10</v>
      </c>
      <c r="I169" s="2">
        <f t="shared" si="14"/>
        <v>0</v>
      </c>
      <c r="J169" s="2">
        <f t="shared" si="15"/>
        <v>0</v>
      </c>
      <c r="K169" s="2">
        <f t="shared" si="16"/>
        <v>0</v>
      </c>
      <c r="L169" s="2">
        <f t="shared" si="17"/>
        <v>10</v>
      </c>
      <c r="M169" s="2">
        <f t="shared" si="18"/>
        <v>5</v>
      </c>
      <c r="N169" s="2">
        <f t="shared" si="19"/>
        <v>1</v>
      </c>
      <c r="O169" s="2">
        <f t="shared" si="20"/>
        <v>16</v>
      </c>
    </row>
    <row r="170" spans="1:15" x14ac:dyDescent="0.35">
      <c r="A170" s="2" t="s">
        <v>134</v>
      </c>
      <c r="B170" s="2" t="s">
        <v>63</v>
      </c>
      <c r="C170" s="2" t="s">
        <v>163</v>
      </c>
      <c r="D170" s="2" t="s">
        <v>164</v>
      </c>
      <c r="E170" s="2" t="s">
        <v>276</v>
      </c>
      <c r="F170" s="2" t="s">
        <v>20</v>
      </c>
      <c r="G170" s="2" t="s">
        <v>21</v>
      </c>
      <c r="H170" s="2">
        <f>IF(C170="Dynasty Autographs",Calculator!$E$4,IF(C170="Debut Day Inscriptions",Calculator!$E$5,IFERROR(VALUE(SUBSTITUTE(F170,"/","")),0)))</f>
        <v>10</v>
      </c>
      <c r="I170" s="2">
        <f t="shared" si="14"/>
        <v>0</v>
      </c>
      <c r="J170" s="2">
        <f t="shared" si="15"/>
        <v>0</v>
      </c>
      <c r="K170" s="2">
        <f t="shared" si="16"/>
        <v>0</v>
      </c>
      <c r="L170" s="2">
        <f t="shared" si="17"/>
        <v>10</v>
      </c>
      <c r="M170" s="2">
        <f t="shared" si="18"/>
        <v>5</v>
      </c>
      <c r="N170" s="2">
        <f t="shared" si="19"/>
        <v>1</v>
      </c>
      <c r="O170" s="2">
        <f t="shared" si="20"/>
        <v>16</v>
      </c>
    </row>
    <row r="171" spans="1:15" x14ac:dyDescent="0.35">
      <c r="A171" s="2" t="s">
        <v>134</v>
      </c>
      <c r="B171" s="2" t="s">
        <v>63</v>
      </c>
      <c r="C171" s="2" t="s">
        <v>163</v>
      </c>
      <c r="D171" s="2" t="s">
        <v>164</v>
      </c>
      <c r="E171" s="2" t="s">
        <v>277</v>
      </c>
      <c r="F171" s="2" t="s">
        <v>20</v>
      </c>
      <c r="G171" s="2" t="s">
        <v>21</v>
      </c>
      <c r="H171" s="2">
        <f>IF(C171="Dynasty Autographs",Calculator!$E$4,IF(C171="Debut Day Inscriptions",Calculator!$E$5,IFERROR(VALUE(SUBSTITUTE(F171,"/","")),0)))</f>
        <v>10</v>
      </c>
      <c r="I171" s="2">
        <f t="shared" si="14"/>
        <v>0</v>
      </c>
      <c r="J171" s="2">
        <f t="shared" si="15"/>
        <v>0</v>
      </c>
      <c r="K171" s="2">
        <f t="shared" si="16"/>
        <v>0</v>
      </c>
      <c r="L171" s="2">
        <f t="shared" si="17"/>
        <v>10</v>
      </c>
      <c r="M171" s="2">
        <f t="shared" si="18"/>
        <v>5</v>
      </c>
      <c r="N171" s="2">
        <f t="shared" si="19"/>
        <v>1</v>
      </c>
      <c r="O171" s="2">
        <f t="shared" si="20"/>
        <v>16</v>
      </c>
    </row>
    <row r="172" spans="1:15" x14ac:dyDescent="0.35">
      <c r="A172" s="2" t="s">
        <v>134</v>
      </c>
      <c r="B172" s="2" t="s">
        <v>63</v>
      </c>
      <c r="C172" s="2" t="s">
        <v>163</v>
      </c>
      <c r="D172" s="2" t="s">
        <v>164</v>
      </c>
      <c r="E172" s="2" t="s">
        <v>278</v>
      </c>
      <c r="F172" s="2" t="s">
        <v>20</v>
      </c>
      <c r="G172" s="2" t="s">
        <v>21</v>
      </c>
      <c r="H172" s="2">
        <f>IF(C172="Dynasty Autographs",Calculator!$E$4,IF(C172="Debut Day Inscriptions",Calculator!$E$5,IFERROR(VALUE(SUBSTITUTE(F172,"/","")),0)))</f>
        <v>10</v>
      </c>
      <c r="I172" s="2">
        <f t="shared" si="14"/>
        <v>0</v>
      </c>
      <c r="J172" s="2">
        <f t="shared" si="15"/>
        <v>0</v>
      </c>
      <c r="K172" s="2">
        <f t="shared" si="16"/>
        <v>0</v>
      </c>
      <c r="L172" s="2">
        <f t="shared" si="17"/>
        <v>10</v>
      </c>
      <c r="M172" s="2">
        <f t="shared" si="18"/>
        <v>5</v>
      </c>
      <c r="N172" s="2">
        <f t="shared" si="19"/>
        <v>1</v>
      </c>
      <c r="O172" s="2">
        <f t="shared" si="20"/>
        <v>16</v>
      </c>
    </row>
    <row r="173" spans="1:15" x14ac:dyDescent="0.35">
      <c r="A173" s="2" t="s">
        <v>58</v>
      </c>
      <c r="B173" s="2" t="s">
        <v>52</v>
      </c>
      <c r="C173" s="2" t="s">
        <v>163</v>
      </c>
      <c r="D173" s="2" t="s">
        <v>164</v>
      </c>
      <c r="E173" s="2" t="s">
        <v>279</v>
      </c>
      <c r="F173" s="2" t="s">
        <v>20</v>
      </c>
      <c r="G173" s="2" t="s">
        <v>21</v>
      </c>
      <c r="H173" s="2">
        <f>IF(C173="Dynasty Autographs",Calculator!$E$4,IF(C173="Debut Day Inscriptions",Calculator!$E$5,IFERROR(VALUE(SUBSTITUTE(F173,"/","")),0)))</f>
        <v>10</v>
      </c>
      <c r="I173" s="2">
        <f t="shared" si="14"/>
        <v>0</v>
      </c>
      <c r="J173" s="2">
        <f t="shared" si="15"/>
        <v>0</v>
      </c>
      <c r="K173" s="2">
        <f t="shared" si="16"/>
        <v>0</v>
      </c>
      <c r="L173" s="2">
        <f t="shared" si="17"/>
        <v>10</v>
      </c>
      <c r="M173" s="2">
        <f t="shared" si="18"/>
        <v>5</v>
      </c>
      <c r="N173" s="2">
        <f t="shared" si="19"/>
        <v>1</v>
      </c>
      <c r="O173" s="2">
        <f t="shared" si="20"/>
        <v>16</v>
      </c>
    </row>
    <row r="174" spans="1:15" x14ac:dyDescent="0.35">
      <c r="A174" s="2" t="s">
        <v>58</v>
      </c>
      <c r="B174" s="2" t="s">
        <v>52</v>
      </c>
      <c r="C174" s="2" t="s">
        <v>163</v>
      </c>
      <c r="D174" s="2" t="s">
        <v>164</v>
      </c>
      <c r="E174" s="2" t="s">
        <v>280</v>
      </c>
      <c r="F174" s="2" t="s">
        <v>20</v>
      </c>
      <c r="G174" s="2" t="s">
        <v>21</v>
      </c>
      <c r="H174" s="2">
        <f>IF(C174="Dynasty Autographs",Calculator!$E$4,IF(C174="Debut Day Inscriptions",Calculator!$E$5,IFERROR(VALUE(SUBSTITUTE(F174,"/","")),0)))</f>
        <v>10</v>
      </c>
      <c r="I174" s="2">
        <f t="shared" si="14"/>
        <v>0</v>
      </c>
      <c r="J174" s="2">
        <f t="shared" si="15"/>
        <v>0</v>
      </c>
      <c r="K174" s="2">
        <f t="shared" si="16"/>
        <v>0</v>
      </c>
      <c r="L174" s="2">
        <f t="shared" si="17"/>
        <v>10</v>
      </c>
      <c r="M174" s="2">
        <f t="shared" si="18"/>
        <v>5</v>
      </c>
      <c r="N174" s="2">
        <f t="shared" si="19"/>
        <v>1</v>
      </c>
      <c r="O174" s="2">
        <f t="shared" si="20"/>
        <v>16</v>
      </c>
    </row>
    <row r="175" spans="1:15" x14ac:dyDescent="0.35">
      <c r="A175" s="2" t="s">
        <v>58</v>
      </c>
      <c r="B175" s="2" t="s">
        <v>52</v>
      </c>
      <c r="C175" s="2" t="s">
        <v>163</v>
      </c>
      <c r="D175" s="2" t="s">
        <v>164</v>
      </c>
      <c r="E175" s="2" t="s">
        <v>281</v>
      </c>
      <c r="F175" s="2" t="s">
        <v>20</v>
      </c>
      <c r="G175" s="2" t="s">
        <v>21</v>
      </c>
      <c r="H175" s="2">
        <f>IF(C175="Dynasty Autographs",Calculator!$E$4,IF(C175="Debut Day Inscriptions",Calculator!$E$5,IFERROR(VALUE(SUBSTITUTE(F175,"/","")),0)))</f>
        <v>10</v>
      </c>
      <c r="I175" s="2">
        <f t="shared" si="14"/>
        <v>0</v>
      </c>
      <c r="J175" s="2">
        <f t="shared" si="15"/>
        <v>0</v>
      </c>
      <c r="K175" s="2">
        <f t="shared" si="16"/>
        <v>0</v>
      </c>
      <c r="L175" s="2">
        <f t="shared" si="17"/>
        <v>10</v>
      </c>
      <c r="M175" s="2">
        <f t="shared" si="18"/>
        <v>5</v>
      </c>
      <c r="N175" s="2">
        <f t="shared" si="19"/>
        <v>1</v>
      </c>
      <c r="O175" s="2">
        <f t="shared" si="20"/>
        <v>16</v>
      </c>
    </row>
    <row r="176" spans="1:15" x14ac:dyDescent="0.35">
      <c r="A176" s="2" t="s">
        <v>58</v>
      </c>
      <c r="B176" s="2" t="s">
        <v>52</v>
      </c>
      <c r="C176" s="2" t="s">
        <v>163</v>
      </c>
      <c r="D176" s="2" t="s">
        <v>164</v>
      </c>
      <c r="E176" s="2" t="s">
        <v>282</v>
      </c>
      <c r="F176" s="2" t="s">
        <v>20</v>
      </c>
      <c r="G176" s="2" t="s">
        <v>21</v>
      </c>
      <c r="H176" s="2">
        <f>IF(C176="Dynasty Autographs",Calculator!$E$4,IF(C176="Debut Day Inscriptions",Calculator!$E$5,IFERROR(VALUE(SUBSTITUTE(F176,"/","")),0)))</f>
        <v>10</v>
      </c>
      <c r="I176" s="2">
        <f t="shared" si="14"/>
        <v>0</v>
      </c>
      <c r="J176" s="2">
        <f t="shared" si="15"/>
        <v>0</v>
      </c>
      <c r="K176" s="2">
        <f t="shared" si="16"/>
        <v>0</v>
      </c>
      <c r="L176" s="2">
        <f t="shared" si="17"/>
        <v>10</v>
      </c>
      <c r="M176" s="2">
        <f t="shared" si="18"/>
        <v>5</v>
      </c>
      <c r="N176" s="2">
        <f t="shared" si="19"/>
        <v>1</v>
      </c>
      <c r="O176" s="2">
        <f t="shared" si="20"/>
        <v>16</v>
      </c>
    </row>
    <row r="177" spans="1:15" x14ac:dyDescent="0.35">
      <c r="A177" s="2" t="s">
        <v>130</v>
      </c>
      <c r="B177" s="2" t="s">
        <v>52</v>
      </c>
      <c r="C177" s="2" t="s">
        <v>163</v>
      </c>
      <c r="D177" s="2" t="s">
        <v>164</v>
      </c>
      <c r="E177" s="2" t="s">
        <v>283</v>
      </c>
      <c r="F177" s="2" t="s">
        <v>20</v>
      </c>
      <c r="G177" s="2" t="s">
        <v>21</v>
      </c>
      <c r="H177" s="2">
        <f>IF(C177="Dynasty Autographs",Calculator!$E$4,IF(C177="Debut Day Inscriptions",Calculator!$E$5,IFERROR(VALUE(SUBSTITUTE(F177,"/","")),0)))</f>
        <v>10</v>
      </c>
      <c r="I177" s="2">
        <f t="shared" si="14"/>
        <v>0</v>
      </c>
      <c r="J177" s="2">
        <f t="shared" si="15"/>
        <v>0</v>
      </c>
      <c r="K177" s="2">
        <f t="shared" si="16"/>
        <v>0</v>
      </c>
      <c r="L177" s="2">
        <f t="shared" si="17"/>
        <v>10</v>
      </c>
      <c r="M177" s="2">
        <f t="shared" si="18"/>
        <v>5</v>
      </c>
      <c r="N177" s="2">
        <f t="shared" si="19"/>
        <v>1</v>
      </c>
      <c r="O177" s="2">
        <f t="shared" si="20"/>
        <v>16</v>
      </c>
    </row>
    <row r="178" spans="1:15" x14ac:dyDescent="0.35">
      <c r="A178" s="2" t="s">
        <v>130</v>
      </c>
      <c r="B178" s="2" t="s">
        <v>52</v>
      </c>
      <c r="C178" s="2" t="s">
        <v>163</v>
      </c>
      <c r="D178" s="2" t="s">
        <v>164</v>
      </c>
      <c r="E178" s="2" t="s">
        <v>284</v>
      </c>
      <c r="F178" s="2" t="s">
        <v>20</v>
      </c>
      <c r="G178" s="2" t="s">
        <v>21</v>
      </c>
      <c r="H178" s="2">
        <f>IF(C178="Dynasty Autographs",Calculator!$E$4,IF(C178="Debut Day Inscriptions",Calculator!$E$5,IFERROR(VALUE(SUBSTITUTE(F178,"/","")),0)))</f>
        <v>10</v>
      </c>
      <c r="I178" s="2">
        <f t="shared" si="14"/>
        <v>0</v>
      </c>
      <c r="J178" s="2">
        <f t="shared" si="15"/>
        <v>0</v>
      </c>
      <c r="K178" s="2">
        <f t="shared" si="16"/>
        <v>0</v>
      </c>
      <c r="L178" s="2">
        <f t="shared" si="17"/>
        <v>10</v>
      </c>
      <c r="M178" s="2">
        <f t="shared" si="18"/>
        <v>5</v>
      </c>
      <c r="N178" s="2">
        <f t="shared" si="19"/>
        <v>1</v>
      </c>
      <c r="O178" s="2">
        <f t="shared" si="20"/>
        <v>16</v>
      </c>
    </row>
    <row r="179" spans="1:15" x14ac:dyDescent="0.35">
      <c r="A179" s="2" t="s">
        <v>130</v>
      </c>
      <c r="B179" s="2" t="s">
        <v>52</v>
      </c>
      <c r="C179" s="2" t="s">
        <v>163</v>
      </c>
      <c r="D179" s="2" t="s">
        <v>164</v>
      </c>
      <c r="E179" s="2" t="s">
        <v>285</v>
      </c>
      <c r="F179" s="2" t="s">
        <v>20</v>
      </c>
      <c r="G179" s="2" t="s">
        <v>21</v>
      </c>
      <c r="H179" s="2">
        <f>IF(C179="Dynasty Autographs",Calculator!$E$4,IF(C179="Debut Day Inscriptions",Calculator!$E$5,IFERROR(VALUE(SUBSTITUTE(F179,"/","")),0)))</f>
        <v>10</v>
      </c>
      <c r="I179" s="2">
        <f t="shared" si="14"/>
        <v>0</v>
      </c>
      <c r="J179" s="2">
        <f t="shared" si="15"/>
        <v>0</v>
      </c>
      <c r="K179" s="2">
        <f t="shared" si="16"/>
        <v>0</v>
      </c>
      <c r="L179" s="2">
        <f t="shared" si="17"/>
        <v>10</v>
      </c>
      <c r="M179" s="2">
        <f t="shared" si="18"/>
        <v>5</v>
      </c>
      <c r="N179" s="2">
        <f t="shared" si="19"/>
        <v>1</v>
      </c>
      <c r="O179" s="2">
        <f t="shared" si="20"/>
        <v>16</v>
      </c>
    </row>
    <row r="180" spans="1:15" x14ac:dyDescent="0.35">
      <c r="A180" s="2" t="s">
        <v>130</v>
      </c>
      <c r="B180" s="2" t="s">
        <v>52</v>
      </c>
      <c r="C180" s="2" t="s">
        <v>163</v>
      </c>
      <c r="D180" s="2" t="s">
        <v>164</v>
      </c>
      <c r="E180" s="2" t="s">
        <v>286</v>
      </c>
      <c r="F180" s="2" t="s">
        <v>20</v>
      </c>
      <c r="G180" s="2" t="s">
        <v>21</v>
      </c>
      <c r="H180" s="2">
        <f>IF(C180="Dynasty Autographs",Calculator!$E$4,IF(C180="Debut Day Inscriptions",Calculator!$E$5,IFERROR(VALUE(SUBSTITUTE(F180,"/","")),0)))</f>
        <v>10</v>
      </c>
      <c r="I180" s="2">
        <f t="shared" si="14"/>
        <v>0</v>
      </c>
      <c r="J180" s="2">
        <f t="shared" si="15"/>
        <v>0</v>
      </c>
      <c r="K180" s="2">
        <f t="shared" si="16"/>
        <v>0</v>
      </c>
      <c r="L180" s="2">
        <f t="shared" si="17"/>
        <v>10</v>
      </c>
      <c r="M180" s="2">
        <f t="shared" si="18"/>
        <v>5</v>
      </c>
      <c r="N180" s="2">
        <f t="shared" si="19"/>
        <v>1</v>
      </c>
      <c r="O180" s="2">
        <f t="shared" si="20"/>
        <v>16</v>
      </c>
    </row>
    <row r="181" spans="1:15" x14ac:dyDescent="0.35">
      <c r="A181" s="2" t="s">
        <v>130</v>
      </c>
      <c r="B181" s="2" t="s">
        <v>52</v>
      </c>
      <c r="C181" s="2" t="s">
        <v>163</v>
      </c>
      <c r="D181" s="2" t="s">
        <v>164</v>
      </c>
      <c r="E181" s="2" t="s">
        <v>287</v>
      </c>
      <c r="F181" s="2" t="s">
        <v>20</v>
      </c>
      <c r="G181" s="2" t="s">
        <v>21</v>
      </c>
      <c r="H181" s="2">
        <f>IF(C181="Dynasty Autographs",Calculator!$E$4,IF(C181="Debut Day Inscriptions",Calculator!$E$5,IFERROR(VALUE(SUBSTITUTE(F181,"/","")),0)))</f>
        <v>10</v>
      </c>
      <c r="I181" s="2">
        <f t="shared" si="14"/>
        <v>0</v>
      </c>
      <c r="J181" s="2">
        <f t="shared" si="15"/>
        <v>0</v>
      </c>
      <c r="K181" s="2">
        <f t="shared" si="16"/>
        <v>0</v>
      </c>
      <c r="L181" s="2">
        <f t="shared" si="17"/>
        <v>10</v>
      </c>
      <c r="M181" s="2">
        <f t="shared" si="18"/>
        <v>5</v>
      </c>
      <c r="N181" s="2">
        <f t="shared" si="19"/>
        <v>1</v>
      </c>
      <c r="O181" s="2">
        <f t="shared" si="20"/>
        <v>16</v>
      </c>
    </row>
    <row r="182" spans="1:15" x14ac:dyDescent="0.35">
      <c r="A182" s="2" t="s">
        <v>130</v>
      </c>
      <c r="B182" s="2" t="s">
        <v>52</v>
      </c>
      <c r="C182" s="2" t="s">
        <v>163</v>
      </c>
      <c r="D182" s="2" t="s">
        <v>164</v>
      </c>
      <c r="E182" s="2" t="s">
        <v>288</v>
      </c>
      <c r="F182" s="2" t="s">
        <v>20</v>
      </c>
      <c r="G182" s="2" t="s">
        <v>21</v>
      </c>
      <c r="H182" s="2">
        <f>IF(C182="Dynasty Autographs",Calculator!$E$4,IF(C182="Debut Day Inscriptions",Calculator!$E$5,IFERROR(VALUE(SUBSTITUTE(F182,"/","")),0)))</f>
        <v>10</v>
      </c>
      <c r="I182" s="2">
        <f t="shared" si="14"/>
        <v>0</v>
      </c>
      <c r="J182" s="2">
        <f t="shared" si="15"/>
        <v>0</v>
      </c>
      <c r="K182" s="2">
        <f t="shared" si="16"/>
        <v>0</v>
      </c>
      <c r="L182" s="2">
        <f t="shared" si="17"/>
        <v>10</v>
      </c>
      <c r="M182" s="2">
        <f t="shared" si="18"/>
        <v>5</v>
      </c>
      <c r="N182" s="2">
        <f t="shared" si="19"/>
        <v>1</v>
      </c>
      <c r="O182" s="2">
        <f t="shared" si="20"/>
        <v>16</v>
      </c>
    </row>
    <row r="183" spans="1:15" x14ac:dyDescent="0.35">
      <c r="A183" s="2" t="s">
        <v>130</v>
      </c>
      <c r="B183" s="2" t="s">
        <v>52</v>
      </c>
      <c r="C183" s="2" t="s">
        <v>163</v>
      </c>
      <c r="D183" s="2" t="s">
        <v>164</v>
      </c>
      <c r="E183" s="2" t="s">
        <v>289</v>
      </c>
      <c r="F183" s="2" t="s">
        <v>20</v>
      </c>
      <c r="G183" s="2" t="s">
        <v>21</v>
      </c>
      <c r="H183" s="2">
        <f>IF(C183="Dynasty Autographs",Calculator!$E$4,IF(C183="Debut Day Inscriptions",Calculator!$E$5,IFERROR(VALUE(SUBSTITUTE(F183,"/","")),0)))</f>
        <v>10</v>
      </c>
      <c r="I183" s="2">
        <f t="shared" si="14"/>
        <v>0</v>
      </c>
      <c r="J183" s="2">
        <f t="shared" si="15"/>
        <v>0</v>
      </c>
      <c r="K183" s="2">
        <f t="shared" si="16"/>
        <v>0</v>
      </c>
      <c r="L183" s="2">
        <f t="shared" si="17"/>
        <v>10</v>
      </c>
      <c r="M183" s="2">
        <f t="shared" si="18"/>
        <v>5</v>
      </c>
      <c r="N183" s="2">
        <f t="shared" si="19"/>
        <v>1</v>
      </c>
      <c r="O183" s="2">
        <f t="shared" si="20"/>
        <v>16</v>
      </c>
    </row>
    <row r="184" spans="1:15" x14ac:dyDescent="0.35">
      <c r="A184" s="2" t="s">
        <v>138</v>
      </c>
      <c r="B184" s="2" t="s">
        <v>71</v>
      </c>
      <c r="C184" s="2" t="s">
        <v>163</v>
      </c>
      <c r="D184" s="2" t="s">
        <v>164</v>
      </c>
      <c r="E184" s="2" t="s">
        <v>290</v>
      </c>
      <c r="F184" s="2" t="s">
        <v>20</v>
      </c>
      <c r="G184" s="2" t="s">
        <v>21</v>
      </c>
      <c r="H184" s="2">
        <f>IF(C184="Dynasty Autographs",Calculator!$E$4,IF(C184="Debut Day Inscriptions",Calculator!$E$5,IFERROR(VALUE(SUBSTITUTE(F184,"/","")),0)))</f>
        <v>10</v>
      </c>
      <c r="I184" s="2">
        <f t="shared" si="14"/>
        <v>0</v>
      </c>
      <c r="J184" s="2">
        <f t="shared" si="15"/>
        <v>0</v>
      </c>
      <c r="K184" s="2">
        <f t="shared" si="16"/>
        <v>0</v>
      </c>
      <c r="L184" s="2">
        <f t="shared" si="17"/>
        <v>10</v>
      </c>
      <c r="M184" s="2">
        <f t="shared" si="18"/>
        <v>5</v>
      </c>
      <c r="N184" s="2">
        <f t="shared" si="19"/>
        <v>1</v>
      </c>
      <c r="O184" s="2">
        <f t="shared" si="20"/>
        <v>16</v>
      </c>
    </row>
    <row r="185" spans="1:15" x14ac:dyDescent="0.35">
      <c r="A185" s="2" t="s">
        <v>138</v>
      </c>
      <c r="B185" s="2" t="s">
        <v>71</v>
      </c>
      <c r="C185" s="2" t="s">
        <v>163</v>
      </c>
      <c r="D185" s="2" t="s">
        <v>164</v>
      </c>
      <c r="E185" s="2" t="s">
        <v>291</v>
      </c>
      <c r="F185" s="2" t="s">
        <v>20</v>
      </c>
      <c r="G185" s="2" t="s">
        <v>21</v>
      </c>
      <c r="H185" s="2">
        <f>IF(C185="Dynasty Autographs",Calculator!$E$4,IF(C185="Debut Day Inscriptions",Calculator!$E$5,IFERROR(VALUE(SUBSTITUTE(F185,"/","")),0)))</f>
        <v>10</v>
      </c>
      <c r="I185" s="2">
        <f t="shared" si="14"/>
        <v>0</v>
      </c>
      <c r="J185" s="2">
        <f t="shared" si="15"/>
        <v>0</v>
      </c>
      <c r="K185" s="2">
        <f t="shared" si="16"/>
        <v>0</v>
      </c>
      <c r="L185" s="2">
        <f t="shared" si="17"/>
        <v>10</v>
      </c>
      <c r="M185" s="2">
        <f t="shared" si="18"/>
        <v>5</v>
      </c>
      <c r="N185" s="2">
        <f t="shared" si="19"/>
        <v>1</v>
      </c>
      <c r="O185" s="2">
        <f t="shared" si="20"/>
        <v>16</v>
      </c>
    </row>
    <row r="186" spans="1:15" x14ac:dyDescent="0.35">
      <c r="A186" s="2" t="s">
        <v>138</v>
      </c>
      <c r="B186" s="2" t="s">
        <v>71</v>
      </c>
      <c r="C186" s="2" t="s">
        <v>163</v>
      </c>
      <c r="D186" s="2" t="s">
        <v>164</v>
      </c>
      <c r="E186" s="2" t="s">
        <v>292</v>
      </c>
      <c r="F186" s="2" t="s">
        <v>20</v>
      </c>
      <c r="G186" s="2" t="s">
        <v>21</v>
      </c>
      <c r="H186" s="2">
        <f>IF(C186="Dynasty Autographs",Calculator!$E$4,IF(C186="Debut Day Inscriptions",Calculator!$E$5,IFERROR(VALUE(SUBSTITUTE(F186,"/","")),0)))</f>
        <v>10</v>
      </c>
      <c r="I186" s="2">
        <f t="shared" si="14"/>
        <v>0</v>
      </c>
      <c r="J186" s="2">
        <f t="shared" si="15"/>
        <v>0</v>
      </c>
      <c r="K186" s="2">
        <f t="shared" si="16"/>
        <v>0</v>
      </c>
      <c r="L186" s="2">
        <f t="shared" si="17"/>
        <v>10</v>
      </c>
      <c r="M186" s="2">
        <f t="shared" si="18"/>
        <v>5</v>
      </c>
      <c r="N186" s="2">
        <f t="shared" si="19"/>
        <v>1</v>
      </c>
      <c r="O186" s="2">
        <f t="shared" si="20"/>
        <v>16</v>
      </c>
    </row>
    <row r="187" spans="1:15" x14ac:dyDescent="0.35">
      <c r="A187" s="2" t="s">
        <v>138</v>
      </c>
      <c r="B187" s="2" t="s">
        <v>71</v>
      </c>
      <c r="C187" s="2" t="s">
        <v>163</v>
      </c>
      <c r="D187" s="2" t="s">
        <v>164</v>
      </c>
      <c r="E187" s="2" t="s">
        <v>293</v>
      </c>
      <c r="F187" s="2" t="s">
        <v>20</v>
      </c>
      <c r="G187" s="2" t="s">
        <v>21</v>
      </c>
      <c r="H187" s="2">
        <f>IF(C187="Dynasty Autographs",Calculator!$E$4,IF(C187="Debut Day Inscriptions",Calculator!$E$5,IFERROR(VALUE(SUBSTITUTE(F187,"/","")),0)))</f>
        <v>10</v>
      </c>
      <c r="I187" s="2">
        <f t="shared" si="14"/>
        <v>0</v>
      </c>
      <c r="J187" s="2">
        <f t="shared" si="15"/>
        <v>0</v>
      </c>
      <c r="K187" s="2">
        <f t="shared" si="16"/>
        <v>0</v>
      </c>
      <c r="L187" s="2">
        <f t="shared" si="17"/>
        <v>10</v>
      </c>
      <c r="M187" s="2">
        <f t="shared" si="18"/>
        <v>5</v>
      </c>
      <c r="N187" s="2">
        <f t="shared" si="19"/>
        <v>1</v>
      </c>
      <c r="O187" s="2">
        <f t="shared" si="20"/>
        <v>16</v>
      </c>
    </row>
    <row r="188" spans="1:15" x14ac:dyDescent="0.35">
      <c r="A188" s="2" t="s">
        <v>138</v>
      </c>
      <c r="B188" s="2" t="s">
        <v>71</v>
      </c>
      <c r="C188" s="2" t="s">
        <v>163</v>
      </c>
      <c r="D188" s="2" t="s">
        <v>164</v>
      </c>
      <c r="E188" s="2" t="s">
        <v>294</v>
      </c>
      <c r="F188" s="2" t="s">
        <v>20</v>
      </c>
      <c r="G188" s="2" t="s">
        <v>21</v>
      </c>
      <c r="H188" s="2">
        <f>IF(C188="Dynasty Autographs",Calculator!$E$4,IF(C188="Debut Day Inscriptions",Calculator!$E$5,IFERROR(VALUE(SUBSTITUTE(F188,"/","")),0)))</f>
        <v>10</v>
      </c>
      <c r="I188" s="2">
        <f t="shared" si="14"/>
        <v>0</v>
      </c>
      <c r="J188" s="2">
        <f t="shared" si="15"/>
        <v>0</v>
      </c>
      <c r="K188" s="2">
        <f t="shared" si="16"/>
        <v>0</v>
      </c>
      <c r="L188" s="2">
        <f t="shared" si="17"/>
        <v>10</v>
      </c>
      <c r="M188" s="2">
        <f t="shared" si="18"/>
        <v>5</v>
      </c>
      <c r="N188" s="2">
        <f t="shared" si="19"/>
        <v>1</v>
      </c>
      <c r="O188" s="2">
        <f t="shared" si="20"/>
        <v>16</v>
      </c>
    </row>
    <row r="189" spans="1:15" x14ac:dyDescent="0.35">
      <c r="A189" s="2" t="s">
        <v>138</v>
      </c>
      <c r="B189" s="2" t="s">
        <v>71</v>
      </c>
      <c r="C189" s="2" t="s">
        <v>163</v>
      </c>
      <c r="D189" s="2" t="s">
        <v>164</v>
      </c>
      <c r="E189" s="2" t="s">
        <v>295</v>
      </c>
      <c r="F189" s="2" t="s">
        <v>20</v>
      </c>
      <c r="G189" s="2" t="s">
        <v>21</v>
      </c>
      <c r="H189" s="2">
        <f>IF(C189="Dynasty Autographs",Calculator!$E$4,IF(C189="Debut Day Inscriptions",Calculator!$E$5,IFERROR(VALUE(SUBSTITUTE(F189,"/","")),0)))</f>
        <v>10</v>
      </c>
      <c r="I189" s="2">
        <f t="shared" si="14"/>
        <v>0</v>
      </c>
      <c r="J189" s="2">
        <f t="shared" si="15"/>
        <v>0</v>
      </c>
      <c r="K189" s="2">
        <f t="shared" si="16"/>
        <v>0</v>
      </c>
      <c r="L189" s="2">
        <f t="shared" si="17"/>
        <v>10</v>
      </c>
      <c r="M189" s="2">
        <f t="shared" si="18"/>
        <v>5</v>
      </c>
      <c r="N189" s="2">
        <f t="shared" si="19"/>
        <v>1</v>
      </c>
      <c r="O189" s="2">
        <f t="shared" si="20"/>
        <v>16</v>
      </c>
    </row>
    <row r="190" spans="1:15" x14ac:dyDescent="0.35">
      <c r="A190" s="2" t="s">
        <v>138</v>
      </c>
      <c r="B190" s="2" t="s">
        <v>71</v>
      </c>
      <c r="C190" s="2" t="s">
        <v>163</v>
      </c>
      <c r="D190" s="2" t="s">
        <v>164</v>
      </c>
      <c r="E190" s="2" t="s">
        <v>296</v>
      </c>
      <c r="F190" s="2" t="s">
        <v>20</v>
      </c>
      <c r="G190" s="2" t="s">
        <v>21</v>
      </c>
      <c r="H190" s="2">
        <f>IF(C190="Dynasty Autographs",Calculator!$E$4,IF(C190="Debut Day Inscriptions",Calculator!$E$5,IFERROR(VALUE(SUBSTITUTE(F190,"/","")),0)))</f>
        <v>10</v>
      </c>
      <c r="I190" s="2">
        <f t="shared" si="14"/>
        <v>0</v>
      </c>
      <c r="J190" s="2">
        <f t="shared" si="15"/>
        <v>0</v>
      </c>
      <c r="K190" s="2">
        <f t="shared" si="16"/>
        <v>0</v>
      </c>
      <c r="L190" s="2">
        <f t="shared" si="17"/>
        <v>10</v>
      </c>
      <c r="M190" s="2">
        <f t="shared" si="18"/>
        <v>5</v>
      </c>
      <c r="N190" s="2">
        <f t="shared" si="19"/>
        <v>1</v>
      </c>
      <c r="O190" s="2">
        <f t="shared" si="20"/>
        <v>16</v>
      </c>
    </row>
    <row r="191" spans="1:15" x14ac:dyDescent="0.35">
      <c r="A191" s="2" t="s">
        <v>297</v>
      </c>
      <c r="B191" s="2" t="s">
        <v>52</v>
      </c>
      <c r="C191" s="2" t="s">
        <v>163</v>
      </c>
      <c r="D191" s="2" t="s">
        <v>164</v>
      </c>
      <c r="E191" s="2" t="s">
        <v>298</v>
      </c>
      <c r="F191" s="2" t="s">
        <v>20</v>
      </c>
      <c r="G191" s="2" t="s">
        <v>21</v>
      </c>
      <c r="H191" s="2">
        <f>IF(C191="Dynasty Autographs",Calculator!$E$4,IF(C191="Debut Day Inscriptions",Calculator!$E$5,IFERROR(VALUE(SUBSTITUTE(F191,"/","")),0)))</f>
        <v>10</v>
      </c>
      <c r="I191" s="2">
        <f t="shared" si="14"/>
        <v>0</v>
      </c>
      <c r="J191" s="2">
        <f t="shared" si="15"/>
        <v>0</v>
      </c>
      <c r="K191" s="2">
        <f t="shared" si="16"/>
        <v>0</v>
      </c>
      <c r="L191" s="2">
        <f t="shared" si="17"/>
        <v>10</v>
      </c>
      <c r="M191" s="2">
        <f t="shared" si="18"/>
        <v>5</v>
      </c>
      <c r="N191" s="2">
        <f t="shared" si="19"/>
        <v>1</v>
      </c>
      <c r="O191" s="2">
        <f t="shared" si="20"/>
        <v>16</v>
      </c>
    </row>
    <row r="192" spans="1:15" x14ac:dyDescent="0.35">
      <c r="A192" s="2" t="s">
        <v>297</v>
      </c>
      <c r="B192" s="2" t="s">
        <v>52</v>
      </c>
      <c r="C192" s="2" t="s">
        <v>163</v>
      </c>
      <c r="D192" s="2" t="s">
        <v>164</v>
      </c>
      <c r="E192" s="2" t="s">
        <v>299</v>
      </c>
      <c r="F192" s="2" t="s">
        <v>20</v>
      </c>
      <c r="G192" s="2" t="s">
        <v>21</v>
      </c>
      <c r="H192" s="2">
        <f>IF(C192="Dynasty Autographs",Calculator!$E$4,IF(C192="Debut Day Inscriptions",Calculator!$E$5,IFERROR(VALUE(SUBSTITUTE(F192,"/","")),0)))</f>
        <v>10</v>
      </c>
      <c r="I192" s="2">
        <f t="shared" si="14"/>
        <v>0</v>
      </c>
      <c r="J192" s="2">
        <f t="shared" si="15"/>
        <v>0</v>
      </c>
      <c r="K192" s="2">
        <f t="shared" si="16"/>
        <v>0</v>
      </c>
      <c r="L192" s="2">
        <f t="shared" si="17"/>
        <v>10</v>
      </c>
      <c r="M192" s="2">
        <f t="shared" si="18"/>
        <v>5</v>
      </c>
      <c r="N192" s="2">
        <f t="shared" si="19"/>
        <v>1</v>
      </c>
      <c r="O192" s="2">
        <f t="shared" si="20"/>
        <v>16</v>
      </c>
    </row>
    <row r="193" spans="1:15" x14ac:dyDescent="0.35">
      <c r="A193" s="2" t="s">
        <v>297</v>
      </c>
      <c r="B193" s="2" t="s">
        <v>52</v>
      </c>
      <c r="C193" s="2" t="s">
        <v>163</v>
      </c>
      <c r="D193" s="2" t="s">
        <v>164</v>
      </c>
      <c r="E193" s="2" t="s">
        <v>300</v>
      </c>
      <c r="F193" s="2" t="s">
        <v>20</v>
      </c>
      <c r="G193" s="2" t="s">
        <v>21</v>
      </c>
      <c r="H193" s="2">
        <f>IF(C193="Dynasty Autographs",Calculator!$E$4,IF(C193="Debut Day Inscriptions",Calculator!$E$5,IFERROR(VALUE(SUBSTITUTE(F193,"/","")),0)))</f>
        <v>10</v>
      </c>
      <c r="I193" s="2">
        <f t="shared" si="14"/>
        <v>0</v>
      </c>
      <c r="J193" s="2">
        <f t="shared" si="15"/>
        <v>0</v>
      </c>
      <c r="K193" s="2">
        <f t="shared" si="16"/>
        <v>0</v>
      </c>
      <c r="L193" s="2">
        <f t="shared" si="17"/>
        <v>10</v>
      </c>
      <c r="M193" s="2">
        <f t="shared" si="18"/>
        <v>5</v>
      </c>
      <c r="N193" s="2">
        <f t="shared" si="19"/>
        <v>1</v>
      </c>
      <c r="O193" s="2">
        <f t="shared" si="20"/>
        <v>16</v>
      </c>
    </row>
    <row r="194" spans="1:15" x14ac:dyDescent="0.35">
      <c r="A194" s="2" t="s">
        <v>297</v>
      </c>
      <c r="B194" s="2" t="s">
        <v>52</v>
      </c>
      <c r="C194" s="2" t="s">
        <v>163</v>
      </c>
      <c r="D194" s="2" t="s">
        <v>164</v>
      </c>
      <c r="E194" s="2" t="s">
        <v>301</v>
      </c>
      <c r="F194" s="2" t="s">
        <v>20</v>
      </c>
      <c r="G194" s="2" t="s">
        <v>21</v>
      </c>
      <c r="H194" s="2">
        <f>IF(C194="Dynasty Autographs",Calculator!$E$4,IF(C194="Debut Day Inscriptions",Calculator!$E$5,IFERROR(VALUE(SUBSTITUTE(F194,"/","")),0)))</f>
        <v>10</v>
      </c>
      <c r="I194" s="2">
        <f t="shared" ref="I194:I257" si="21">IF(H194=99,99,IF(ISNUMBER(SEARCH("/99",G194)),99,0))</f>
        <v>0</v>
      </c>
      <c r="J194" s="2">
        <f t="shared" ref="J194:J257" si="22">IF(H194=50,50,IF(ISNUMBER(SEARCH("/50",G194)),50,0))</f>
        <v>0</v>
      </c>
      <c r="K194" s="2">
        <f t="shared" ref="K194:K257" si="23">IF(H194=25,25,IF(ISNUMBER(SEARCH("/25",G194)),25,0))</f>
        <v>0</v>
      </c>
      <c r="L194" s="2">
        <f t="shared" ref="L194:L257" si="24">IF(H194=10,10,IF(ISNUMBER(SEARCH("/10",G194)),10,0))</f>
        <v>10</v>
      </c>
      <c r="M194" s="2">
        <f t="shared" ref="M194:M257" si="25">IF(H194=5,5,IF(ISNUMBER(SEARCH("/5",G194)),5,0))</f>
        <v>5</v>
      </c>
      <c r="N194" s="2">
        <f t="shared" ref="N194:N257" si="26">IF(H194=1,1,IF(ISNUMBER(SEARCH("1/1",G194)),1,0))</f>
        <v>1</v>
      </c>
      <c r="O194" s="2">
        <f t="shared" ref="O194:O257" si="27">SUM(I194:N194)</f>
        <v>16</v>
      </c>
    </row>
    <row r="195" spans="1:15" x14ac:dyDescent="0.35">
      <c r="A195" s="2" t="s">
        <v>297</v>
      </c>
      <c r="B195" s="2" t="s">
        <v>52</v>
      </c>
      <c r="C195" s="2" t="s">
        <v>163</v>
      </c>
      <c r="D195" s="2" t="s">
        <v>164</v>
      </c>
      <c r="E195" s="2" t="s">
        <v>302</v>
      </c>
      <c r="F195" s="2" t="s">
        <v>20</v>
      </c>
      <c r="G195" s="2" t="s">
        <v>21</v>
      </c>
      <c r="H195" s="2">
        <f>IF(C195="Dynasty Autographs",Calculator!$E$4,IF(C195="Debut Day Inscriptions",Calculator!$E$5,IFERROR(VALUE(SUBSTITUTE(F195,"/","")),0)))</f>
        <v>10</v>
      </c>
      <c r="I195" s="2">
        <f t="shared" si="21"/>
        <v>0</v>
      </c>
      <c r="J195" s="2">
        <f t="shared" si="22"/>
        <v>0</v>
      </c>
      <c r="K195" s="2">
        <f t="shared" si="23"/>
        <v>0</v>
      </c>
      <c r="L195" s="2">
        <f t="shared" si="24"/>
        <v>10</v>
      </c>
      <c r="M195" s="2">
        <f t="shared" si="25"/>
        <v>5</v>
      </c>
      <c r="N195" s="2">
        <f t="shared" si="26"/>
        <v>1</v>
      </c>
      <c r="O195" s="2">
        <f t="shared" si="27"/>
        <v>16</v>
      </c>
    </row>
    <row r="196" spans="1:15" x14ac:dyDescent="0.35">
      <c r="A196" s="2" t="s">
        <v>60</v>
      </c>
      <c r="B196" s="2" t="s">
        <v>26</v>
      </c>
      <c r="C196" s="2" t="s">
        <v>163</v>
      </c>
      <c r="D196" s="2" t="s">
        <v>164</v>
      </c>
      <c r="E196" s="2" t="s">
        <v>303</v>
      </c>
      <c r="F196" s="2" t="s">
        <v>20</v>
      </c>
      <c r="G196" s="2" t="s">
        <v>21</v>
      </c>
      <c r="H196" s="2">
        <f>IF(C196="Dynasty Autographs",Calculator!$E$4,IF(C196="Debut Day Inscriptions",Calculator!$E$5,IFERROR(VALUE(SUBSTITUTE(F196,"/","")),0)))</f>
        <v>10</v>
      </c>
      <c r="I196" s="2">
        <f t="shared" si="21"/>
        <v>0</v>
      </c>
      <c r="J196" s="2">
        <f t="shared" si="22"/>
        <v>0</v>
      </c>
      <c r="K196" s="2">
        <f t="shared" si="23"/>
        <v>0</v>
      </c>
      <c r="L196" s="2">
        <f t="shared" si="24"/>
        <v>10</v>
      </c>
      <c r="M196" s="2">
        <f t="shared" si="25"/>
        <v>5</v>
      </c>
      <c r="N196" s="2">
        <f t="shared" si="26"/>
        <v>1</v>
      </c>
      <c r="O196" s="2">
        <f t="shared" si="27"/>
        <v>16</v>
      </c>
    </row>
    <row r="197" spans="1:15" x14ac:dyDescent="0.35">
      <c r="A197" s="2" t="s">
        <v>60</v>
      </c>
      <c r="B197" s="2" t="s">
        <v>26</v>
      </c>
      <c r="C197" s="2" t="s">
        <v>163</v>
      </c>
      <c r="D197" s="2" t="s">
        <v>164</v>
      </c>
      <c r="E197" s="2" t="s">
        <v>304</v>
      </c>
      <c r="F197" s="2" t="s">
        <v>20</v>
      </c>
      <c r="G197" s="2" t="s">
        <v>21</v>
      </c>
      <c r="H197" s="2">
        <f>IF(C197="Dynasty Autographs",Calculator!$E$4,IF(C197="Debut Day Inscriptions",Calculator!$E$5,IFERROR(VALUE(SUBSTITUTE(F197,"/","")),0)))</f>
        <v>10</v>
      </c>
      <c r="I197" s="2">
        <f t="shared" si="21"/>
        <v>0</v>
      </c>
      <c r="J197" s="2">
        <f t="shared" si="22"/>
        <v>0</v>
      </c>
      <c r="K197" s="2">
        <f t="shared" si="23"/>
        <v>0</v>
      </c>
      <c r="L197" s="2">
        <f t="shared" si="24"/>
        <v>10</v>
      </c>
      <c r="M197" s="2">
        <f t="shared" si="25"/>
        <v>5</v>
      </c>
      <c r="N197" s="2">
        <f t="shared" si="26"/>
        <v>1</v>
      </c>
      <c r="O197" s="2">
        <f t="shared" si="27"/>
        <v>16</v>
      </c>
    </row>
    <row r="198" spans="1:15" x14ac:dyDescent="0.35">
      <c r="A198" s="2" t="s">
        <v>60</v>
      </c>
      <c r="B198" s="2" t="s">
        <v>26</v>
      </c>
      <c r="C198" s="2" t="s">
        <v>163</v>
      </c>
      <c r="D198" s="2" t="s">
        <v>164</v>
      </c>
      <c r="E198" s="2" t="s">
        <v>305</v>
      </c>
      <c r="F198" s="2" t="s">
        <v>20</v>
      </c>
      <c r="G198" s="2" t="s">
        <v>21</v>
      </c>
      <c r="H198" s="2">
        <f>IF(C198="Dynasty Autographs",Calculator!$E$4,IF(C198="Debut Day Inscriptions",Calculator!$E$5,IFERROR(VALUE(SUBSTITUTE(F198,"/","")),0)))</f>
        <v>10</v>
      </c>
      <c r="I198" s="2">
        <f t="shared" si="21"/>
        <v>0</v>
      </c>
      <c r="J198" s="2">
        <f t="shared" si="22"/>
        <v>0</v>
      </c>
      <c r="K198" s="2">
        <f t="shared" si="23"/>
        <v>0</v>
      </c>
      <c r="L198" s="2">
        <f t="shared" si="24"/>
        <v>10</v>
      </c>
      <c r="M198" s="2">
        <f t="shared" si="25"/>
        <v>5</v>
      </c>
      <c r="N198" s="2">
        <f t="shared" si="26"/>
        <v>1</v>
      </c>
      <c r="O198" s="2">
        <f t="shared" si="27"/>
        <v>16</v>
      </c>
    </row>
    <row r="199" spans="1:15" x14ac:dyDescent="0.35">
      <c r="A199" s="2" t="s">
        <v>60</v>
      </c>
      <c r="B199" s="2" t="s">
        <v>26</v>
      </c>
      <c r="C199" s="2" t="s">
        <v>163</v>
      </c>
      <c r="D199" s="2" t="s">
        <v>164</v>
      </c>
      <c r="E199" s="2" t="s">
        <v>306</v>
      </c>
      <c r="F199" s="2" t="s">
        <v>20</v>
      </c>
      <c r="G199" s="2" t="s">
        <v>21</v>
      </c>
      <c r="H199" s="2">
        <f>IF(C199="Dynasty Autographs",Calculator!$E$4,IF(C199="Debut Day Inscriptions",Calculator!$E$5,IFERROR(VALUE(SUBSTITUTE(F199,"/","")),0)))</f>
        <v>10</v>
      </c>
      <c r="I199" s="2">
        <f t="shared" si="21"/>
        <v>0</v>
      </c>
      <c r="J199" s="2">
        <f t="shared" si="22"/>
        <v>0</v>
      </c>
      <c r="K199" s="2">
        <f t="shared" si="23"/>
        <v>0</v>
      </c>
      <c r="L199" s="2">
        <f t="shared" si="24"/>
        <v>10</v>
      </c>
      <c r="M199" s="2">
        <f t="shared" si="25"/>
        <v>5</v>
      </c>
      <c r="N199" s="2">
        <f t="shared" si="26"/>
        <v>1</v>
      </c>
      <c r="O199" s="2">
        <f t="shared" si="27"/>
        <v>16</v>
      </c>
    </row>
    <row r="200" spans="1:15" x14ac:dyDescent="0.35">
      <c r="A200" s="2" t="s">
        <v>60</v>
      </c>
      <c r="B200" s="2" t="s">
        <v>26</v>
      </c>
      <c r="C200" s="2" t="s">
        <v>163</v>
      </c>
      <c r="D200" s="2" t="s">
        <v>164</v>
      </c>
      <c r="E200" s="2" t="s">
        <v>307</v>
      </c>
      <c r="F200" s="2" t="s">
        <v>20</v>
      </c>
      <c r="G200" s="2" t="s">
        <v>21</v>
      </c>
      <c r="H200" s="2">
        <f>IF(C200="Dynasty Autographs",Calculator!$E$4,IF(C200="Debut Day Inscriptions",Calculator!$E$5,IFERROR(VALUE(SUBSTITUTE(F200,"/","")),0)))</f>
        <v>10</v>
      </c>
      <c r="I200" s="2">
        <f t="shared" si="21"/>
        <v>0</v>
      </c>
      <c r="J200" s="2">
        <f t="shared" si="22"/>
        <v>0</v>
      </c>
      <c r="K200" s="2">
        <f t="shared" si="23"/>
        <v>0</v>
      </c>
      <c r="L200" s="2">
        <f t="shared" si="24"/>
        <v>10</v>
      </c>
      <c r="M200" s="2">
        <f t="shared" si="25"/>
        <v>5</v>
      </c>
      <c r="N200" s="2">
        <f t="shared" si="26"/>
        <v>1</v>
      </c>
      <c r="O200" s="2">
        <f t="shared" si="27"/>
        <v>16</v>
      </c>
    </row>
    <row r="201" spans="1:15" x14ac:dyDescent="0.35">
      <c r="A201" s="2" t="s">
        <v>60</v>
      </c>
      <c r="B201" s="2" t="s">
        <v>26</v>
      </c>
      <c r="C201" s="2" t="s">
        <v>163</v>
      </c>
      <c r="D201" s="2" t="s">
        <v>164</v>
      </c>
      <c r="E201" s="2" t="s">
        <v>308</v>
      </c>
      <c r="F201" s="2" t="s">
        <v>20</v>
      </c>
      <c r="G201" s="2" t="s">
        <v>21</v>
      </c>
      <c r="H201" s="2">
        <f>IF(C201="Dynasty Autographs",Calculator!$E$4,IF(C201="Debut Day Inscriptions",Calculator!$E$5,IFERROR(VALUE(SUBSTITUTE(F201,"/","")),0)))</f>
        <v>10</v>
      </c>
      <c r="I201" s="2">
        <f t="shared" si="21"/>
        <v>0</v>
      </c>
      <c r="J201" s="2">
        <f t="shared" si="22"/>
        <v>0</v>
      </c>
      <c r="K201" s="2">
        <f t="shared" si="23"/>
        <v>0</v>
      </c>
      <c r="L201" s="2">
        <f t="shared" si="24"/>
        <v>10</v>
      </c>
      <c r="M201" s="2">
        <f t="shared" si="25"/>
        <v>5</v>
      </c>
      <c r="N201" s="2">
        <f t="shared" si="26"/>
        <v>1</v>
      </c>
      <c r="O201" s="2">
        <f t="shared" si="27"/>
        <v>16</v>
      </c>
    </row>
    <row r="202" spans="1:15" x14ac:dyDescent="0.35">
      <c r="A202" s="2" t="s">
        <v>309</v>
      </c>
      <c r="B202" s="2" t="s">
        <v>87</v>
      </c>
      <c r="C202" s="2" t="s">
        <v>163</v>
      </c>
      <c r="D202" s="2" t="s">
        <v>164</v>
      </c>
      <c r="E202" s="2" t="s">
        <v>310</v>
      </c>
      <c r="F202" s="2" t="s">
        <v>20</v>
      </c>
      <c r="G202" s="2" t="s">
        <v>21</v>
      </c>
      <c r="H202" s="2">
        <f>IF(C202="Dynasty Autographs",Calculator!$E$4,IF(C202="Debut Day Inscriptions",Calculator!$E$5,IFERROR(VALUE(SUBSTITUTE(F202,"/","")),0)))</f>
        <v>10</v>
      </c>
      <c r="I202" s="2">
        <f t="shared" si="21"/>
        <v>0</v>
      </c>
      <c r="J202" s="2">
        <f t="shared" si="22"/>
        <v>0</v>
      </c>
      <c r="K202" s="2">
        <f t="shared" si="23"/>
        <v>0</v>
      </c>
      <c r="L202" s="2">
        <f t="shared" si="24"/>
        <v>10</v>
      </c>
      <c r="M202" s="2">
        <f t="shared" si="25"/>
        <v>5</v>
      </c>
      <c r="N202" s="2">
        <f t="shared" si="26"/>
        <v>1</v>
      </c>
      <c r="O202" s="2">
        <f t="shared" si="27"/>
        <v>16</v>
      </c>
    </row>
    <row r="203" spans="1:15" x14ac:dyDescent="0.35">
      <c r="A203" s="2" t="s">
        <v>309</v>
      </c>
      <c r="B203" s="2" t="s">
        <v>87</v>
      </c>
      <c r="C203" s="2" t="s">
        <v>163</v>
      </c>
      <c r="D203" s="2" t="s">
        <v>164</v>
      </c>
      <c r="E203" s="2" t="s">
        <v>311</v>
      </c>
      <c r="F203" s="2" t="s">
        <v>20</v>
      </c>
      <c r="G203" s="2" t="s">
        <v>21</v>
      </c>
      <c r="H203" s="2">
        <f>IF(C203="Dynasty Autographs",Calculator!$E$4,IF(C203="Debut Day Inscriptions",Calculator!$E$5,IFERROR(VALUE(SUBSTITUTE(F203,"/","")),0)))</f>
        <v>10</v>
      </c>
      <c r="I203" s="2">
        <f t="shared" si="21"/>
        <v>0</v>
      </c>
      <c r="J203" s="2">
        <f t="shared" si="22"/>
        <v>0</v>
      </c>
      <c r="K203" s="2">
        <f t="shared" si="23"/>
        <v>0</v>
      </c>
      <c r="L203" s="2">
        <f t="shared" si="24"/>
        <v>10</v>
      </c>
      <c r="M203" s="2">
        <f t="shared" si="25"/>
        <v>5</v>
      </c>
      <c r="N203" s="2">
        <f t="shared" si="26"/>
        <v>1</v>
      </c>
      <c r="O203" s="2">
        <f t="shared" si="27"/>
        <v>16</v>
      </c>
    </row>
    <row r="204" spans="1:15" x14ac:dyDescent="0.35">
      <c r="A204" s="2" t="s">
        <v>309</v>
      </c>
      <c r="B204" s="2" t="s">
        <v>87</v>
      </c>
      <c r="C204" s="2" t="s">
        <v>163</v>
      </c>
      <c r="D204" s="2" t="s">
        <v>164</v>
      </c>
      <c r="E204" s="2" t="s">
        <v>312</v>
      </c>
      <c r="F204" s="2" t="s">
        <v>20</v>
      </c>
      <c r="G204" s="2" t="s">
        <v>21</v>
      </c>
      <c r="H204" s="2">
        <f>IF(C204="Dynasty Autographs",Calculator!$E$4,IF(C204="Debut Day Inscriptions",Calculator!$E$5,IFERROR(VALUE(SUBSTITUTE(F204,"/","")),0)))</f>
        <v>10</v>
      </c>
      <c r="I204" s="2">
        <f t="shared" si="21"/>
        <v>0</v>
      </c>
      <c r="J204" s="2">
        <f t="shared" si="22"/>
        <v>0</v>
      </c>
      <c r="K204" s="2">
        <f t="shared" si="23"/>
        <v>0</v>
      </c>
      <c r="L204" s="2">
        <f t="shared" si="24"/>
        <v>10</v>
      </c>
      <c r="M204" s="2">
        <f t="shared" si="25"/>
        <v>5</v>
      </c>
      <c r="N204" s="2">
        <f t="shared" si="26"/>
        <v>1</v>
      </c>
      <c r="O204" s="2">
        <f t="shared" si="27"/>
        <v>16</v>
      </c>
    </row>
    <row r="205" spans="1:15" x14ac:dyDescent="0.35">
      <c r="A205" s="2" t="s">
        <v>309</v>
      </c>
      <c r="B205" s="2" t="s">
        <v>87</v>
      </c>
      <c r="C205" s="2" t="s">
        <v>163</v>
      </c>
      <c r="D205" s="2" t="s">
        <v>164</v>
      </c>
      <c r="E205" s="2" t="s">
        <v>313</v>
      </c>
      <c r="F205" s="2" t="s">
        <v>20</v>
      </c>
      <c r="G205" s="2" t="s">
        <v>21</v>
      </c>
      <c r="H205" s="2">
        <f>IF(C205="Dynasty Autographs",Calculator!$E$4,IF(C205="Debut Day Inscriptions",Calculator!$E$5,IFERROR(VALUE(SUBSTITUTE(F205,"/","")),0)))</f>
        <v>10</v>
      </c>
      <c r="I205" s="2">
        <f t="shared" si="21"/>
        <v>0</v>
      </c>
      <c r="J205" s="2">
        <f t="shared" si="22"/>
        <v>0</v>
      </c>
      <c r="K205" s="2">
        <f t="shared" si="23"/>
        <v>0</v>
      </c>
      <c r="L205" s="2">
        <f t="shared" si="24"/>
        <v>10</v>
      </c>
      <c r="M205" s="2">
        <f t="shared" si="25"/>
        <v>5</v>
      </c>
      <c r="N205" s="2">
        <f t="shared" si="26"/>
        <v>1</v>
      </c>
      <c r="O205" s="2">
        <f t="shared" si="27"/>
        <v>16</v>
      </c>
    </row>
    <row r="206" spans="1:15" x14ac:dyDescent="0.35">
      <c r="A206" s="2" t="s">
        <v>62</v>
      </c>
      <c r="B206" s="2" t="s">
        <v>63</v>
      </c>
      <c r="C206" s="2" t="s">
        <v>163</v>
      </c>
      <c r="D206" s="2" t="s">
        <v>164</v>
      </c>
      <c r="E206" s="2" t="s">
        <v>314</v>
      </c>
      <c r="F206" s="2" t="s">
        <v>20</v>
      </c>
      <c r="G206" s="2" t="s">
        <v>21</v>
      </c>
      <c r="H206" s="2">
        <f>IF(C206="Dynasty Autographs",Calculator!$E$4,IF(C206="Debut Day Inscriptions",Calculator!$E$5,IFERROR(VALUE(SUBSTITUTE(F206,"/","")),0)))</f>
        <v>10</v>
      </c>
      <c r="I206" s="2">
        <f t="shared" si="21"/>
        <v>0</v>
      </c>
      <c r="J206" s="2">
        <f t="shared" si="22"/>
        <v>0</v>
      </c>
      <c r="K206" s="2">
        <f t="shared" si="23"/>
        <v>0</v>
      </c>
      <c r="L206" s="2">
        <f t="shared" si="24"/>
        <v>10</v>
      </c>
      <c r="M206" s="2">
        <f t="shared" si="25"/>
        <v>5</v>
      </c>
      <c r="N206" s="2">
        <f t="shared" si="26"/>
        <v>1</v>
      </c>
      <c r="O206" s="2">
        <f t="shared" si="27"/>
        <v>16</v>
      </c>
    </row>
    <row r="207" spans="1:15" x14ac:dyDescent="0.35">
      <c r="A207" s="2" t="s">
        <v>62</v>
      </c>
      <c r="B207" s="2" t="s">
        <v>63</v>
      </c>
      <c r="C207" s="2" t="s">
        <v>163</v>
      </c>
      <c r="D207" s="2" t="s">
        <v>164</v>
      </c>
      <c r="E207" s="2" t="s">
        <v>315</v>
      </c>
      <c r="F207" s="2" t="s">
        <v>20</v>
      </c>
      <c r="G207" s="2" t="s">
        <v>21</v>
      </c>
      <c r="H207" s="2">
        <f>IF(C207="Dynasty Autographs",Calculator!$E$4,IF(C207="Debut Day Inscriptions",Calculator!$E$5,IFERROR(VALUE(SUBSTITUTE(F207,"/","")),0)))</f>
        <v>10</v>
      </c>
      <c r="I207" s="2">
        <f t="shared" si="21"/>
        <v>0</v>
      </c>
      <c r="J207" s="2">
        <f t="shared" si="22"/>
        <v>0</v>
      </c>
      <c r="K207" s="2">
        <f t="shared" si="23"/>
        <v>0</v>
      </c>
      <c r="L207" s="2">
        <f t="shared" si="24"/>
        <v>10</v>
      </c>
      <c r="M207" s="2">
        <f t="shared" si="25"/>
        <v>5</v>
      </c>
      <c r="N207" s="2">
        <f t="shared" si="26"/>
        <v>1</v>
      </c>
      <c r="O207" s="2">
        <f t="shared" si="27"/>
        <v>16</v>
      </c>
    </row>
    <row r="208" spans="1:15" x14ac:dyDescent="0.35">
      <c r="A208" s="2" t="s">
        <v>62</v>
      </c>
      <c r="B208" s="2" t="s">
        <v>63</v>
      </c>
      <c r="C208" s="2" t="s">
        <v>163</v>
      </c>
      <c r="D208" s="2" t="s">
        <v>164</v>
      </c>
      <c r="E208" s="2" t="s">
        <v>316</v>
      </c>
      <c r="F208" s="2" t="s">
        <v>20</v>
      </c>
      <c r="G208" s="2" t="s">
        <v>21</v>
      </c>
      <c r="H208" s="2">
        <f>IF(C208="Dynasty Autographs",Calculator!$E$4,IF(C208="Debut Day Inscriptions",Calculator!$E$5,IFERROR(VALUE(SUBSTITUTE(F208,"/","")),0)))</f>
        <v>10</v>
      </c>
      <c r="I208" s="2">
        <f t="shared" si="21"/>
        <v>0</v>
      </c>
      <c r="J208" s="2">
        <f t="shared" si="22"/>
        <v>0</v>
      </c>
      <c r="K208" s="2">
        <f t="shared" si="23"/>
        <v>0</v>
      </c>
      <c r="L208" s="2">
        <f t="shared" si="24"/>
        <v>10</v>
      </c>
      <c r="M208" s="2">
        <f t="shared" si="25"/>
        <v>5</v>
      </c>
      <c r="N208" s="2">
        <f t="shared" si="26"/>
        <v>1</v>
      </c>
      <c r="O208" s="2">
        <f t="shared" si="27"/>
        <v>16</v>
      </c>
    </row>
    <row r="209" spans="1:15" x14ac:dyDescent="0.35">
      <c r="A209" s="2" t="s">
        <v>62</v>
      </c>
      <c r="B209" s="2" t="s">
        <v>63</v>
      </c>
      <c r="C209" s="2" t="s">
        <v>163</v>
      </c>
      <c r="D209" s="2" t="s">
        <v>164</v>
      </c>
      <c r="E209" s="2" t="s">
        <v>317</v>
      </c>
      <c r="F209" s="2" t="s">
        <v>20</v>
      </c>
      <c r="G209" s="2" t="s">
        <v>21</v>
      </c>
      <c r="H209" s="2">
        <f>IF(C209="Dynasty Autographs",Calculator!$E$4,IF(C209="Debut Day Inscriptions",Calculator!$E$5,IFERROR(VALUE(SUBSTITUTE(F209,"/","")),0)))</f>
        <v>10</v>
      </c>
      <c r="I209" s="2">
        <f t="shared" si="21"/>
        <v>0</v>
      </c>
      <c r="J209" s="2">
        <f t="shared" si="22"/>
        <v>0</v>
      </c>
      <c r="K209" s="2">
        <f t="shared" si="23"/>
        <v>0</v>
      </c>
      <c r="L209" s="2">
        <f t="shared" si="24"/>
        <v>10</v>
      </c>
      <c r="M209" s="2">
        <f t="shared" si="25"/>
        <v>5</v>
      </c>
      <c r="N209" s="2">
        <f t="shared" si="26"/>
        <v>1</v>
      </c>
      <c r="O209" s="2">
        <f t="shared" si="27"/>
        <v>16</v>
      </c>
    </row>
    <row r="210" spans="1:15" x14ac:dyDescent="0.35">
      <c r="A210" s="2" t="s">
        <v>318</v>
      </c>
      <c r="B210" s="2" t="s">
        <v>52</v>
      </c>
      <c r="C210" s="2" t="s">
        <v>163</v>
      </c>
      <c r="D210" s="2" t="s">
        <v>164</v>
      </c>
      <c r="E210" s="2" t="s">
        <v>319</v>
      </c>
      <c r="F210" s="2" t="s">
        <v>20</v>
      </c>
      <c r="G210" s="2" t="s">
        <v>21</v>
      </c>
      <c r="H210" s="2">
        <f>IF(C210="Dynasty Autographs",Calculator!$E$4,IF(C210="Debut Day Inscriptions",Calculator!$E$5,IFERROR(VALUE(SUBSTITUTE(F210,"/","")),0)))</f>
        <v>10</v>
      </c>
      <c r="I210" s="2">
        <f t="shared" si="21"/>
        <v>0</v>
      </c>
      <c r="J210" s="2">
        <f t="shared" si="22"/>
        <v>0</v>
      </c>
      <c r="K210" s="2">
        <f t="shared" si="23"/>
        <v>0</v>
      </c>
      <c r="L210" s="2">
        <f t="shared" si="24"/>
        <v>10</v>
      </c>
      <c r="M210" s="2">
        <f t="shared" si="25"/>
        <v>5</v>
      </c>
      <c r="N210" s="2">
        <f t="shared" si="26"/>
        <v>1</v>
      </c>
      <c r="O210" s="2">
        <f t="shared" si="27"/>
        <v>16</v>
      </c>
    </row>
    <row r="211" spans="1:15" x14ac:dyDescent="0.35">
      <c r="A211" s="2" t="s">
        <v>318</v>
      </c>
      <c r="B211" s="2" t="s">
        <v>52</v>
      </c>
      <c r="C211" s="2" t="s">
        <v>163</v>
      </c>
      <c r="D211" s="2" t="s">
        <v>164</v>
      </c>
      <c r="E211" s="2" t="s">
        <v>320</v>
      </c>
      <c r="F211" s="2" t="s">
        <v>20</v>
      </c>
      <c r="G211" s="2" t="s">
        <v>21</v>
      </c>
      <c r="H211" s="2">
        <f>IF(C211="Dynasty Autographs",Calculator!$E$4,IF(C211="Debut Day Inscriptions",Calculator!$E$5,IFERROR(VALUE(SUBSTITUTE(F211,"/","")),0)))</f>
        <v>10</v>
      </c>
      <c r="I211" s="2">
        <f t="shared" si="21"/>
        <v>0</v>
      </c>
      <c r="J211" s="2">
        <f t="shared" si="22"/>
        <v>0</v>
      </c>
      <c r="K211" s="2">
        <f t="shared" si="23"/>
        <v>0</v>
      </c>
      <c r="L211" s="2">
        <f t="shared" si="24"/>
        <v>10</v>
      </c>
      <c r="M211" s="2">
        <f t="shared" si="25"/>
        <v>5</v>
      </c>
      <c r="N211" s="2">
        <f t="shared" si="26"/>
        <v>1</v>
      </c>
      <c r="O211" s="2">
        <f t="shared" si="27"/>
        <v>16</v>
      </c>
    </row>
    <row r="212" spans="1:15" x14ac:dyDescent="0.35">
      <c r="A212" s="2" t="s">
        <v>318</v>
      </c>
      <c r="B212" s="2" t="s">
        <v>52</v>
      </c>
      <c r="C212" s="2" t="s">
        <v>163</v>
      </c>
      <c r="D212" s="2" t="s">
        <v>164</v>
      </c>
      <c r="E212" s="2" t="s">
        <v>321</v>
      </c>
      <c r="F212" s="2" t="s">
        <v>20</v>
      </c>
      <c r="G212" s="2" t="s">
        <v>21</v>
      </c>
      <c r="H212" s="2">
        <f>IF(C212="Dynasty Autographs",Calculator!$E$4,IF(C212="Debut Day Inscriptions",Calculator!$E$5,IFERROR(VALUE(SUBSTITUTE(F212,"/","")),0)))</f>
        <v>10</v>
      </c>
      <c r="I212" s="2">
        <f t="shared" si="21"/>
        <v>0</v>
      </c>
      <c r="J212" s="2">
        <f t="shared" si="22"/>
        <v>0</v>
      </c>
      <c r="K212" s="2">
        <f t="shared" si="23"/>
        <v>0</v>
      </c>
      <c r="L212" s="2">
        <f t="shared" si="24"/>
        <v>10</v>
      </c>
      <c r="M212" s="2">
        <f t="shared" si="25"/>
        <v>5</v>
      </c>
      <c r="N212" s="2">
        <f t="shared" si="26"/>
        <v>1</v>
      </c>
      <c r="O212" s="2">
        <f t="shared" si="27"/>
        <v>16</v>
      </c>
    </row>
    <row r="213" spans="1:15" x14ac:dyDescent="0.35">
      <c r="A213" s="2" t="s">
        <v>322</v>
      </c>
      <c r="B213" s="2" t="s">
        <v>16</v>
      </c>
      <c r="C213" s="2" t="s">
        <v>163</v>
      </c>
      <c r="D213" s="2" t="s">
        <v>164</v>
      </c>
      <c r="E213" s="2" t="s">
        <v>323</v>
      </c>
      <c r="F213" s="2" t="s">
        <v>20</v>
      </c>
      <c r="G213" s="2" t="s">
        <v>21</v>
      </c>
      <c r="H213" s="2">
        <f>IF(C213="Dynasty Autographs",Calculator!$E$4,IF(C213="Debut Day Inscriptions",Calculator!$E$5,IFERROR(VALUE(SUBSTITUTE(F213,"/","")),0)))</f>
        <v>10</v>
      </c>
      <c r="I213" s="2">
        <f t="shared" si="21"/>
        <v>0</v>
      </c>
      <c r="J213" s="2">
        <f t="shared" si="22"/>
        <v>0</v>
      </c>
      <c r="K213" s="2">
        <f t="shared" si="23"/>
        <v>0</v>
      </c>
      <c r="L213" s="2">
        <f t="shared" si="24"/>
        <v>10</v>
      </c>
      <c r="M213" s="2">
        <f t="shared" si="25"/>
        <v>5</v>
      </c>
      <c r="N213" s="2">
        <f t="shared" si="26"/>
        <v>1</v>
      </c>
      <c r="O213" s="2">
        <f t="shared" si="27"/>
        <v>16</v>
      </c>
    </row>
    <row r="214" spans="1:15" x14ac:dyDescent="0.35">
      <c r="A214" s="2" t="s">
        <v>322</v>
      </c>
      <c r="B214" s="2" t="s">
        <v>16</v>
      </c>
      <c r="C214" s="2" t="s">
        <v>163</v>
      </c>
      <c r="D214" s="2" t="s">
        <v>164</v>
      </c>
      <c r="E214" s="2" t="s">
        <v>324</v>
      </c>
      <c r="F214" s="2" t="s">
        <v>20</v>
      </c>
      <c r="G214" s="2" t="s">
        <v>21</v>
      </c>
      <c r="H214" s="2">
        <f>IF(C214="Dynasty Autographs",Calculator!$E$4,IF(C214="Debut Day Inscriptions",Calculator!$E$5,IFERROR(VALUE(SUBSTITUTE(F214,"/","")),0)))</f>
        <v>10</v>
      </c>
      <c r="I214" s="2">
        <f t="shared" si="21"/>
        <v>0</v>
      </c>
      <c r="J214" s="2">
        <f t="shared" si="22"/>
        <v>0</v>
      </c>
      <c r="K214" s="2">
        <f t="shared" si="23"/>
        <v>0</v>
      </c>
      <c r="L214" s="2">
        <f t="shared" si="24"/>
        <v>10</v>
      </c>
      <c r="M214" s="2">
        <f t="shared" si="25"/>
        <v>5</v>
      </c>
      <c r="N214" s="2">
        <f t="shared" si="26"/>
        <v>1</v>
      </c>
      <c r="O214" s="2">
        <f t="shared" si="27"/>
        <v>16</v>
      </c>
    </row>
    <row r="215" spans="1:15" x14ac:dyDescent="0.35">
      <c r="A215" s="2" t="s">
        <v>322</v>
      </c>
      <c r="B215" s="2" t="s">
        <v>16</v>
      </c>
      <c r="C215" s="2" t="s">
        <v>163</v>
      </c>
      <c r="D215" s="2" t="s">
        <v>164</v>
      </c>
      <c r="E215" s="2" t="s">
        <v>325</v>
      </c>
      <c r="F215" s="2" t="s">
        <v>20</v>
      </c>
      <c r="G215" s="2" t="s">
        <v>21</v>
      </c>
      <c r="H215" s="2">
        <f>IF(C215="Dynasty Autographs",Calculator!$E$4,IF(C215="Debut Day Inscriptions",Calculator!$E$5,IFERROR(VALUE(SUBSTITUTE(F215,"/","")),0)))</f>
        <v>10</v>
      </c>
      <c r="I215" s="2">
        <f t="shared" si="21"/>
        <v>0</v>
      </c>
      <c r="J215" s="2">
        <f t="shared" si="22"/>
        <v>0</v>
      </c>
      <c r="K215" s="2">
        <f t="shared" si="23"/>
        <v>0</v>
      </c>
      <c r="L215" s="2">
        <f t="shared" si="24"/>
        <v>10</v>
      </c>
      <c r="M215" s="2">
        <f t="shared" si="25"/>
        <v>5</v>
      </c>
      <c r="N215" s="2">
        <f t="shared" si="26"/>
        <v>1</v>
      </c>
      <c r="O215" s="2">
        <f t="shared" si="27"/>
        <v>16</v>
      </c>
    </row>
    <row r="216" spans="1:15" x14ac:dyDescent="0.35">
      <c r="A216" s="2" t="s">
        <v>65</v>
      </c>
      <c r="B216" s="2" t="s">
        <v>23</v>
      </c>
      <c r="C216" s="2" t="s">
        <v>163</v>
      </c>
      <c r="D216" s="2" t="s">
        <v>164</v>
      </c>
      <c r="E216" s="2" t="s">
        <v>326</v>
      </c>
      <c r="F216" s="2" t="s">
        <v>20</v>
      </c>
      <c r="G216" s="2" t="s">
        <v>21</v>
      </c>
      <c r="H216" s="2">
        <f>IF(C216="Dynasty Autographs",Calculator!$E$4,IF(C216="Debut Day Inscriptions",Calculator!$E$5,IFERROR(VALUE(SUBSTITUTE(F216,"/","")),0)))</f>
        <v>10</v>
      </c>
      <c r="I216" s="2">
        <f t="shared" si="21"/>
        <v>0</v>
      </c>
      <c r="J216" s="2">
        <f t="shared" si="22"/>
        <v>0</v>
      </c>
      <c r="K216" s="2">
        <f t="shared" si="23"/>
        <v>0</v>
      </c>
      <c r="L216" s="2">
        <f t="shared" si="24"/>
        <v>10</v>
      </c>
      <c r="M216" s="2">
        <f t="shared" si="25"/>
        <v>5</v>
      </c>
      <c r="N216" s="2">
        <f t="shared" si="26"/>
        <v>1</v>
      </c>
      <c r="O216" s="2">
        <f t="shared" si="27"/>
        <v>16</v>
      </c>
    </row>
    <row r="217" spans="1:15" x14ac:dyDescent="0.35">
      <c r="A217" s="2" t="s">
        <v>65</v>
      </c>
      <c r="B217" s="2" t="s">
        <v>23</v>
      </c>
      <c r="C217" s="2" t="s">
        <v>163</v>
      </c>
      <c r="D217" s="2" t="s">
        <v>164</v>
      </c>
      <c r="E217" s="2" t="s">
        <v>327</v>
      </c>
      <c r="F217" s="2" t="s">
        <v>20</v>
      </c>
      <c r="G217" s="2" t="s">
        <v>21</v>
      </c>
      <c r="H217" s="2">
        <f>IF(C217="Dynasty Autographs",Calculator!$E$4,IF(C217="Debut Day Inscriptions",Calculator!$E$5,IFERROR(VALUE(SUBSTITUTE(F217,"/","")),0)))</f>
        <v>10</v>
      </c>
      <c r="I217" s="2">
        <f t="shared" si="21"/>
        <v>0</v>
      </c>
      <c r="J217" s="2">
        <f t="shared" si="22"/>
        <v>0</v>
      </c>
      <c r="K217" s="2">
        <f t="shared" si="23"/>
        <v>0</v>
      </c>
      <c r="L217" s="2">
        <f t="shared" si="24"/>
        <v>10</v>
      </c>
      <c r="M217" s="2">
        <f t="shared" si="25"/>
        <v>5</v>
      </c>
      <c r="N217" s="2">
        <f t="shared" si="26"/>
        <v>1</v>
      </c>
      <c r="O217" s="2">
        <f t="shared" si="27"/>
        <v>16</v>
      </c>
    </row>
    <row r="218" spans="1:15" x14ac:dyDescent="0.35">
      <c r="A218" s="2" t="s">
        <v>65</v>
      </c>
      <c r="B218" s="2" t="s">
        <v>23</v>
      </c>
      <c r="C218" s="2" t="s">
        <v>163</v>
      </c>
      <c r="D218" s="2" t="s">
        <v>164</v>
      </c>
      <c r="E218" s="2" t="s">
        <v>328</v>
      </c>
      <c r="F218" s="2" t="s">
        <v>20</v>
      </c>
      <c r="G218" s="2" t="s">
        <v>21</v>
      </c>
      <c r="H218" s="2">
        <f>IF(C218="Dynasty Autographs",Calculator!$E$4,IF(C218="Debut Day Inscriptions",Calculator!$E$5,IFERROR(VALUE(SUBSTITUTE(F218,"/","")),0)))</f>
        <v>10</v>
      </c>
      <c r="I218" s="2">
        <f t="shared" si="21"/>
        <v>0</v>
      </c>
      <c r="J218" s="2">
        <f t="shared" si="22"/>
        <v>0</v>
      </c>
      <c r="K218" s="2">
        <f t="shared" si="23"/>
        <v>0</v>
      </c>
      <c r="L218" s="2">
        <f t="shared" si="24"/>
        <v>10</v>
      </c>
      <c r="M218" s="2">
        <f t="shared" si="25"/>
        <v>5</v>
      </c>
      <c r="N218" s="2">
        <f t="shared" si="26"/>
        <v>1</v>
      </c>
      <c r="O218" s="2">
        <f t="shared" si="27"/>
        <v>16</v>
      </c>
    </row>
    <row r="219" spans="1:15" x14ac:dyDescent="0.35">
      <c r="A219" s="2" t="s">
        <v>65</v>
      </c>
      <c r="B219" s="2" t="s">
        <v>23</v>
      </c>
      <c r="C219" s="2" t="s">
        <v>163</v>
      </c>
      <c r="D219" s="2" t="s">
        <v>164</v>
      </c>
      <c r="E219" s="2" t="s">
        <v>329</v>
      </c>
      <c r="F219" s="2" t="s">
        <v>20</v>
      </c>
      <c r="G219" s="2" t="s">
        <v>21</v>
      </c>
      <c r="H219" s="2">
        <f>IF(C219="Dynasty Autographs",Calculator!$E$4,IF(C219="Debut Day Inscriptions",Calculator!$E$5,IFERROR(VALUE(SUBSTITUTE(F219,"/","")),0)))</f>
        <v>10</v>
      </c>
      <c r="I219" s="2">
        <f t="shared" si="21"/>
        <v>0</v>
      </c>
      <c r="J219" s="2">
        <f t="shared" si="22"/>
        <v>0</v>
      </c>
      <c r="K219" s="2">
        <f t="shared" si="23"/>
        <v>0</v>
      </c>
      <c r="L219" s="2">
        <f t="shared" si="24"/>
        <v>10</v>
      </c>
      <c r="M219" s="2">
        <f t="shared" si="25"/>
        <v>5</v>
      </c>
      <c r="N219" s="2">
        <f t="shared" si="26"/>
        <v>1</v>
      </c>
      <c r="O219" s="2">
        <f t="shared" si="27"/>
        <v>16</v>
      </c>
    </row>
    <row r="220" spans="1:15" x14ac:dyDescent="0.35">
      <c r="A220" s="2" t="s">
        <v>65</v>
      </c>
      <c r="B220" s="2" t="s">
        <v>23</v>
      </c>
      <c r="C220" s="2" t="s">
        <v>163</v>
      </c>
      <c r="D220" s="2" t="s">
        <v>164</v>
      </c>
      <c r="E220" s="2" t="s">
        <v>330</v>
      </c>
      <c r="F220" s="2" t="s">
        <v>20</v>
      </c>
      <c r="G220" s="2" t="s">
        <v>21</v>
      </c>
      <c r="H220" s="2">
        <f>IF(C220="Dynasty Autographs",Calculator!$E$4,IF(C220="Debut Day Inscriptions",Calculator!$E$5,IFERROR(VALUE(SUBSTITUTE(F220,"/","")),0)))</f>
        <v>10</v>
      </c>
      <c r="I220" s="2">
        <f t="shared" si="21"/>
        <v>0</v>
      </c>
      <c r="J220" s="2">
        <f t="shared" si="22"/>
        <v>0</v>
      </c>
      <c r="K220" s="2">
        <f t="shared" si="23"/>
        <v>0</v>
      </c>
      <c r="L220" s="2">
        <f t="shared" si="24"/>
        <v>10</v>
      </c>
      <c r="M220" s="2">
        <f t="shared" si="25"/>
        <v>5</v>
      </c>
      <c r="N220" s="2">
        <f t="shared" si="26"/>
        <v>1</v>
      </c>
      <c r="O220" s="2">
        <f t="shared" si="27"/>
        <v>16</v>
      </c>
    </row>
    <row r="221" spans="1:15" x14ac:dyDescent="0.35">
      <c r="A221" s="2" t="s">
        <v>331</v>
      </c>
      <c r="B221" s="2" t="s">
        <v>52</v>
      </c>
      <c r="C221" s="2" t="s">
        <v>163</v>
      </c>
      <c r="D221" s="2" t="s">
        <v>332</v>
      </c>
      <c r="E221" s="2" t="s">
        <v>333</v>
      </c>
      <c r="F221" s="2" t="s">
        <v>20</v>
      </c>
      <c r="G221" s="2" t="s">
        <v>21</v>
      </c>
      <c r="H221" s="2">
        <f>IF(C221="Dynasty Autographs",Calculator!$E$4,IF(C221="Debut Day Inscriptions",Calculator!$E$5,IFERROR(VALUE(SUBSTITUTE(F221,"/","")),0)))</f>
        <v>10</v>
      </c>
      <c r="I221" s="2">
        <f t="shared" si="21"/>
        <v>0</v>
      </c>
      <c r="J221" s="2">
        <f t="shared" si="22"/>
        <v>0</v>
      </c>
      <c r="K221" s="2">
        <f t="shared" si="23"/>
        <v>0</v>
      </c>
      <c r="L221" s="2">
        <f t="shared" si="24"/>
        <v>10</v>
      </c>
      <c r="M221" s="2">
        <f t="shared" si="25"/>
        <v>5</v>
      </c>
      <c r="N221" s="2">
        <f t="shared" si="26"/>
        <v>1</v>
      </c>
      <c r="O221" s="2">
        <f t="shared" si="27"/>
        <v>16</v>
      </c>
    </row>
    <row r="222" spans="1:15" x14ac:dyDescent="0.35">
      <c r="A222" s="2" t="s">
        <v>331</v>
      </c>
      <c r="B222" s="2" t="s">
        <v>52</v>
      </c>
      <c r="C222" s="2" t="s">
        <v>163</v>
      </c>
      <c r="D222" s="2" t="s">
        <v>332</v>
      </c>
      <c r="E222" s="2" t="s">
        <v>334</v>
      </c>
      <c r="F222" s="2" t="s">
        <v>20</v>
      </c>
      <c r="G222" s="2" t="s">
        <v>21</v>
      </c>
      <c r="H222" s="2">
        <f>IF(C222="Dynasty Autographs",Calculator!$E$4,IF(C222="Debut Day Inscriptions",Calculator!$E$5,IFERROR(VALUE(SUBSTITUTE(F222,"/","")),0)))</f>
        <v>10</v>
      </c>
      <c r="I222" s="2">
        <f t="shared" si="21"/>
        <v>0</v>
      </c>
      <c r="J222" s="2">
        <f t="shared" si="22"/>
        <v>0</v>
      </c>
      <c r="K222" s="2">
        <f t="shared" si="23"/>
        <v>0</v>
      </c>
      <c r="L222" s="2">
        <f t="shared" si="24"/>
        <v>10</v>
      </c>
      <c r="M222" s="2">
        <f t="shared" si="25"/>
        <v>5</v>
      </c>
      <c r="N222" s="2">
        <f t="shared" si="26"/>
        <v>1</v>
      </c>
      <c r="O222" s="2">
        <f t="shared" si="27"/>
        <v>16</v>
      </c>
    </row>
    <row r="223" spans="1:15" x14ac:dyDescent="0.35">
      <c r="A223" s="2" t="s">
        <v>331</v>
      </c>
      <c r="B223" s="2" t="s">
        <v>52</v>
      </c>
      <c r="C223" s="2" t="s">
        <v>163</v>
      </c>
      <c r="D223" s="2" t="s">
        <v>332</v>
      </c>
      <c r="E223" s="2" t="s">
        <v>335</v>
      </c>
      <c r="F223" s="2" t="s">
        <v>20</v>
      </c>
      <c r="G223" s="2" t="s">
        <v>21</v>
      </c>
      <c r="H223" s="2">
        <f>IF(C223="Dynasty Autographs",Calculator!$E$4,IF(C223="Debut Day Inscriptions",Calculator!$E$5,IFERROR(VALUE(SUBSTITUTE(F223,"/","")),0)))</f>
        <v>10</v>
      </c>
      <c r="I223" s="2">
        <f t="shared" si="21"/>
        <v>0</v>
      </c>
      <c r="J223" s="2">
        <f t="shared" si="22"/>
        <v>0</v>
      </c>
      <c r="K223" s="2">
        <f t="shared" si="23"/>
        <v>0</v>
      </c>
      <c r="L223" s="2">
        <f t="shared" si="24"/>
        <v>10</v>
      </c>
      <c r="M223" s="2">
        <f t="shared" si="25"/>
        <v>5</v>
      </c>
      <c r="N223" s="2">
        <f t="shared" si="26"/>
        <v>1</v>
      </c>
      <c r="O223" s="2">
        <f t="shared" si="27"/>
        <v>16</v>
      </c>
    </row>
    <row r="224" spans="1:15" x14ac:dyDescent="0.35">
      <c r="A224" s="2" t="s">
        <v>331</v>
      </c>
      <c r="B224" s="2" t="s">
        <v>52</v>
      </c>
      <c r="C224" s="2" t="s">
        <v>163</v>
      </c>
      <c r="D224" s="2" t="s">
        <v>332</v>
      </c>
      <c r="E224" s="2" t="s">
        <v>336</v>
      </c>
      <c r="F224" s="2" t="s">
        <v>20</v>
      </c>
      <c r="G224" s="2" t="s">
        <v>21</v>
      </c>
      <c r="H224" s="2">
        <f>IF(C224="Dynasty Autographs",Calculator!$E$4,IF(C224="Debut Day Inscriptions",Calculator!$E$5,IFERROR(VALUE(SUBSTITUTE(F224,"/","")),0)))</f>
        <v>10</v>
      </c>
      <c r="I224" s="2">
        <f t="shared" si="21"/>
        <v>0</v>
      </c>
      <c r="J224" s="2">
        <f t="shared" si="22"/>
        <v>0</v>
      </c>
      <c r="K224" s="2">
        <f t="shared" si="23"/>
        <v>0</v>
      </c>
      <c r="L224" s="2">
        <f t="shared" si="24"/>
        <v>10</v>
      </c>
      <c r="M224" s="2">
        <f t="shared" si="25"/>
        <v>5</v>
      </c>
      <c r="N224" s="2">
        <f t="shared" si="26"/>
        <v>1</v>
      </c>
      <c r="O224" s="2">
        <f t="shared" si="27"/>
        <v>16</v>
      </c>
    </row>
    <row r="225" spans="1:15" x14ac:dyDescent="0.35">
      <c r="A225" s="2" t="s">
        <v>337</v>
      </c>
      <c r="B225" s="2" t="s">
        <v>338</v>
      </c>
      <c r="C225" s="2" t="s">
        <v>163</v>
      </c>
      <c r="D225" s="2" t="s">
        <v>332</v>
      </c>
      <c r="E225" s="2" t="s">
        <v>339</v>
      </c>
      <c r="F225" s="2" t="s">
        <v>20</v>
      </c>
      <c r="G225" s="2" t="s">
        <v>21</v>
      </c>
      <c r="H225" s="2">
        <f>IF(C225="Dynasty Autographs",Calculator!$E$4,IF(C225="Debut Day Inscriptions",Calculator!$E$5,IFERROR(VALUE(SUBSTITUTE(F225,"/","")),0)))</f>
        <v>10</v>
      </c>
      <c r="I225" s="2">
        <f t="shared" si="21"/>
        <v>0</v>
      </c>
      <c r="J225" s="2">
        <f t="shared" si="22"/>
        <v>0</v>
      </c>
      <c r="K225" s="2">
        <f t="shared" si="23"/>
        <v>0</v>
      </c>
      <c r="L225" s="2">
        <f t="shared" si="24"/>
        <v>10</v>
      </c>
      <c r="M225" s="2">
        <f t="shared" si="25"/>
        <v>5</v>
      </c>
      <c r="N225" s="2">
        <f t="shared" si="26"/>
        <v>1</v>
      </c>
      <c r="O225" s="2">
        <f t="shared" si="27"/>
        <v>16</v>
      </c>
    </row>
    <row r="226" spans="1:15" x14ac:dyDescent="0.35">
      <c r="A226" s="2" t="s">
        <v>337</v>
      </c>
      <c r="B226" s="2" t="s">
        <v>338</v>
      </c>
      <c r="C226" s="2" t="s">
        <v>163</v>
      </c>
      <c r="D226" s="2" t="s">
        <v>332</v>
      </c>
      <c r="E226" s="2" t="s">
        <v>340</v>
      </c>
      <c r="F226" s="2" t="s">
        <v>20</v>
      </c>
      <c r="G226" s="2" t="s">
        <v>21</v>
      </c>
      <c r="H226" s="2">
        <f>IF(C226="Dynasty Autographs",Calculator!$E$4,IF(C226="Debut Day Inscriptions",Calculator!$E$5,IFERROR(VALUE(SUBSTITUTE(F226,"/","")),0)))</f>
        <v>10</v>
      </c>
      <c r="I226" s="2">
        <f t="shared" si="21"/>
        <v>0</v>
      </c>
      <c r="J226" s="2">
        <f t="shared" si="22"/>
        <v>0</v>
      </c>
      <c r="K226" s="2">
        <f t="shared" si="23"/>
        <v>0</v>
      </c>
      <c r="L226" s="2">
        <f t="shared" si="24"/>
        <v>10</v>
      </c>
      <c r="M226" s="2">
        <f t="shared" si="25"/>
        <v>5</v>
      </c>
      <c r="N226" s="2">
        <f t="shared" si="26"/>
        <v>1</v>
      </c>
      <c r="O226" s="2">
        <f t="shared" si="27"/>
        <v>16</v>
      </c>
    </row>
    <row r="227" spans="1:15" x14ac:dyDescent="0.35">
      <c r="A227" s="2" t="s">
        <v>341</v>
      </c>
      <c r="B227" s="2" t="s">
        <v>63</v>
      </c>
      <c r="C227" s="2" t="s">
        <v>163</v>
      </c>
      <c r="D227" s="2" t="s">
        <v>332</v>
      </c>
      <c r="E227" s="2" t="s">
        <v>342</v>
      </c>
      <c r="F227" s="2" t="s">
        <v>20</v>
      </c>
      <c r="G227" s="2" t="s">
        <v>21</v>
      </c>
      <c r="H227" s="2">
        <f>IF(C227="Dynasty Autographs",Calculator!$E$4,IF(C227="Debut Day Inscriptions",Calculator!$E$5,IFERROR(VALUE(SUBSTITUTE(F227,"/","")),0)))</f>
        <v>10</v>
      </c>
      <c r="I227" s="2">
        <f t="shared" si="21"/>
        <v>0</v>
      </c>
      <c r="J227" s="2">
        <f t="shared" si="22"/>
        <v>0</v>
      </c>
      <c r="K227" s="2">
        <f t="shared" si="23"/>
        <v>0</v>
      </c>
      <c r="L227" s="2">
        <f t="shared" si="24"/>
        <v>10</v>
      </c>
      <c r="M227" s="2">
        <f t="shared" si="25"/>
        <v>5</v>
      </c>
      <c r="N227" s="2">
        <f t="shared" si="26"/>
        <v>1</v>
      </c>
      <c r="O227" s="2">
        <f t="shared" si="27"/>
        <v>16</v>
      </c>
    </row>
    <row r="228" spans="1:15" x14ac:dyDescent="0.35">
      <c r="A228" s="2" t="s">
        <v>341</v>
      </c>
      <c r="B228" s="2" t="s">
        <v>63</v>
      </c>
      <c r="C228" s="2" t="s">
        <v>163</v>
      </c>
      <c r="D228" s="2" t="s">
        <v>332</v>
      </c>
      <c r="E228" s="2" t="s">
        <v>343</v>
      </c>
      <c r="F228" s="2" t="s">
        <v>20</v>
      </c>
      <c r="G228" s="2" t="s">
        <v>21</v>
      </c>
      <c r="H228" s="2">
        <f>IF(C228="Dynasty Autographs",Calculator!$E$4,IF(C228="Debut Day Inscriptions",Calculator!$E$5,IFERROR(VALUE(SUBSTITUTE(F228,"/","")),0)))</f>
        <v>10</v>
      </c>
      <c r="I228" s="2">
        <f t="shared" si="21"/>
        <v>0</v>
      </c>
      <c r="J228" s="2">
        <f t="shared" si="22"/>
        <v>0</v>
      </c>
      <c r="K228" s="2">
        <f t="shared" si="23"/>
        <v>0</v>
      </c>
      <c r="L228" s="2">
        <f t="shared" si="24"/>
        <v>10</v>
      </c>
      <c r="M228" s="2">
        <f t="shared" si="25"/>
        <v>5</v>
      </c>
      <c r="N228" s="2">
        <f t="shared" si="26"/>
        <v>1</v>
      </c>
      <c r="O228" s="2">
        <f t="shared" si="27"/>
        <v>16</v>
      </c>
    </row>
    <row r="229" spans="1:15" x14ac:dyDescent="0.35">
      <c r="A229" s="2" t="s">
        <v>341</v>
      </c>
      <c r="B229" s="2" t="s">
        <v>63</v>
      </c>
      <c r="C229" s="2" t="s">
        <v>163</v>
      </c>
      <c r="D229" s="2" t="s">
        <v>332</v>
      </c>
      <c r="E229" s="2" t="s">
        <v>344</v>
      </c>
      <c r="F229" s="2" t="s">
        <v>20</v>
      </c>
      <c r="G229" s="2" t="s">
        <v>21</v>
      </c>
      <c r="H229" s="2">
        <f>IF(C229="Dynasty Autographs",Calculator!$E$4,IF(C229="Debut Day Inscriptions",Calculator!$E$5,IFERROR(VALUE(SUBSTITUTE(F229,"/","")),0)))</f>
        <v>10</v>
      </c>
      <c r="I229" s="2">
        <f t="shared" si="21"/>
        <v>0</v>
      </c>
      <c r="J229" s="2">
        <f t="shared" si="22"/>
        <v>0</v>
      </c>
      <c r="K229" s="2">
        <f t="shared" si="23"/>
        <v>0</v>
      </c>
      <c r="L229" s="2">
        <f t="shared" si="24"/>
        <v>10</v>
      </c>
      <c r="M229" s="2">
        <f t="shared" si="25"/>
        <v>5</v>
      </c>
      <c r="N229" s="2">
        <f t="shared" si="26"/>
        <v>1</v>
      </c>
      <c r="O229" s="2">
        <f t="shared" si="27"/>
        <v>16</v>
      </c>
    </row>
    <row r="230" spans="1:15" x14ac:dyDescent="0.35">
      <c r="A230" s="2" t="s">
        <v>341</v>
      </c>
      <c r="B230" s="2" t="s">
        <v>63</v>
      </c>
      <c r="C230" s="2" t="s">
        <v>163</v>
      </c>
      <c r="D230" s="2" t="s">
        <v>332</v>
      </c>
      <c r="E230" s="2" t="s">
        <v>345</v>
      </c>
      <c r="F230" s="2" t="s">
        <v>20</v>
      </c>
      <c r="G230" s="2" t="s">
        <v>21</v>
      </c>
      <c r="H230" s="2">
        <f>IF(C230="Dynasty Autographs",Calculator!$E$4,IF(C230="Debut Day Inscriptions",Calculator!$E$5,IFERROR(VALUE(SUBSTITUTE(F230,"/","")),0)))</f>
        <v>10</v>
      </c>
      <c r="I230" s="2">
        <f t="shared" si="21"/>
        <v>0</v>
      </c>
      <c r="J230" s="2">
        <f t="shared" si="22"/>
        <v>0</v>
      </c>
      <c r="K230" s="2">
        <f t="shared" si="23"/>
        <v>0</v>
      </c>
      <c r="L230" s="2">
        <f t="shared" si="24"/>
        <v>10</v>
      </c>
      <c r="M230" s="2">
        <f t="shared" si="25"/>
        <v>5</v>
      </c>
      <c r="N230" s="2">
        <f t="shared" si="26"/>
        <v>1</v>
      </c>
      <c r="O230" s="2">
        <f t="shared" si="27"/>
        <v>16</v>
      </c>
    </row>
    <row r="231" spans="1:15" x14ac:dyDescent="0.35">
      <c r="A231" s="2" t="s">
        <v>346</v>
      </c>
      <c r="B231" s="2" t="s">
        <v>52</v>
      </c>
      <c r="C231" s="2" t="s">
        <v>163</v>
      </c>
      <c r="D231" s="2" t="s">
        <v>332</v>
      </c>
      <c r="E231" s="2" t="s">
        <v>347</v>
      </c>
      <c r="F231" s="2" t="s">
        <v>20</v>
      </c>
      <c r="G231" s="2" t="s">
        <v>21</v>
      </c>
      <c r="H231" s="2">
        <f>IF(C231="Dynasty Autographs",Calculator!$E$4,IF(C231="Debut Day Inscriptions",Calculator!$E$5,IFERROR(VALUE(SUBSTITUTE(F231,"/","")),0)))</f>
        <v>10</v>
      </c>
      <c r="I231" s="2">
        <f t="shared" si="21"/>
        <v>0</v>
      </c>
      <c r="J231" s="2">
        <f t="shared" si="22"/>
        <v>0</v>
      </c>
      <c r="K231" s="2">
        <f t="shared" si="23"/>
        <v>0</v>
      </c>
      <c r="L231" s="2">
        <f t="shared" si="24"/>
        <v>10</v>
      </c>
      <c r="M231" s="2">
        <f t="shared" si="25"/>
        <v>5</v>
      </c>
      <c r="N231" s="2">
        <f t="shared" si="26"/>
        <v>1</v>
      </c>
      <c r="O231" s="2">
        <f t="shared" si="27"/>
        <v>16</v>
      </c>
    </row>
    <row r="232" spans="1:15" x14ac:dyDescent="0.35">
      <c r="A232" s="2" t="s">
        <v>346</v>
      </c>
      <c r="B232" s="2" t="s">
        <v>52</v>
      </c>
      <c r="C232" s="2" t="s">
        <v>163</v>
      </c>
      <c r="D232" s="2" t="s">
        <v>332</v>
      </c>
      <c r="E232" s="2" t="s">
        <v>348</v>
      </c>
      <c r="F232" s="2" t="s">
        <v>20</v>
      </c>
      <c r="G232" s="2" t="s">
        <v>21</v>
      </c>
      <c r="H232" s="2">
        <f>IF(C232="Dynasty Autographs",Calculator!$E$4,IF(C232="Debut Day Inscriptions",Calculator!$E$5,IFERROR(VALUE(SUBSTITUTE(F232,"/","")),0)))</f>
        <v>10</v>
      </c>
      <c r="I232" s="2">
        <f t="shared" si="21"/>
        <v>0</v>
      </c>
      <c r="J232" s="2">
        <f t="shared" si="22"/>
        <v>0</v>
      </c>
      <c r="K232" s="2">
        <f t="shared" si="23"/>
        <v>0</v>
      </c>
      <c r="L232" s="2">
        <f t="shared" si="24"/>
        <v>10</v>
      </c>
      <c r="M232" s="2">
        <f t="shared" si="25"/>
        <v>5</v>
      </c>
      <c r="N232" s="2">
        <f t="shared" si="26"/>
        <v>1</v>
      </c>
      <c r="O232" s="2">
        <f t="shared" si="27"/>
        <v>16</v>
      </c>
    </row>
    <row r="233" spans="1:15" x14ac:dyDescent="0.35">
      <c r="A233" s="2" t="s">
        <v>346</v>
      </c>
      <c r="B233" s="2" t="s">
        <v>52</v>
      </c>
      <c r="C233" s="2" t="s">
        <v>163</v>
      </c>
      <c r="D233" s="2" t="s">
        <v>332</v>
      </c>
      <c r="E233" s="2" t="s">
        <v>349</v>
      </c>
      <c r="F233" s="2" t="s">
        <v>20</v>
      </c>
      <c r="G233" s="2" t="s">
        <v>21</v>
      </c>
      <c r="H233" s="2">
        <f>IF(C233="Dynasty Autographs",Calculator!$E$4,IF(C233="Debut Day Inscriptions",Calculator!$E$5,IFERROR(VALUE(SUBSTITUTE(F233,"/","")),0)))</f>
        <v>10</v>
      </c>
      <c r="I233" s="2">
        <f t="shared" si="21"/>
        <v>0</v>
      </c>
      <c r="J233" s="2">
        <f t="shared" si="22"/>
        <v>0</v>
      </c>
      <c r="K233" s="2">
        <f t="shared" si="23"/>
        <v>0</v>
      </c>
      <c r="L233" s="2">
        <f t="shared" si="24"/>
        <v>10</v>
      </c>
      <c r="M233" s="2">
        <f t="shared" si="25"/>
        <v>5</v>
      </c>
      <c r="N233" s="2">
        <f t="shared" si="26"/>
        <v>1</v>
      </c>
      <c r="O233" s="2">
        <f t="shared" si="27"/>
        <v>16</v>
      </c>
    </row>
    <row r="234" spans="1:15" x14ac:dyDescent="0.35">
      <c r="A234" s="2" t="s">
        <v>350</v>
      </c>
      <c r="B234" s="2" t="s">
        <v>351</v>
      </c>
      <c r="C234" s="2" t="s">
        <v>163</v>
      </c>
      <c r="D234" s="2" t="s">
        <v>332</v>
      </c>
      <c r="E234" s="2" t="s">
        <v>352</v>
      </c>
      <c r="F234" s="2" t="s">
        <v>20</v>
      </c>
      <c r="G234" s="2" t="s">
        <v>21</v>
      </c>
      <c r="H234" s="2">
        <f>IF(C234="Dynasty Autographs",Calculator!$E$4,IF(C234="Debut Day Inscriptions",Calculator!$E$5,IFERROR(VALUE(SUBSTITUTE(F234,"/","")),0)))</f>
        <v>10</v>
      </c>
      <c r="I234" s="2">
        <f t="shared" si="21"/>
        <v>0</v>
      </c>
      <c r="J234" s="2">
        <f t="shared" si="22"/>
        <v>0</v>
      </c>
      <c r="K234" s="2">
        <f t="shared" si="23"/>
        <v>0</v>
      </c>
      <c r="L234" s="2">
        <f t="shared" si="24"/>
        <v>10</v>
      </c>
      <c r="M234" s="2">
        <f t="shared" si="25"/>
        <v>5</v>
      </c>
      <c r="N234" s="2">
        <f t="shared" si="26"/>
        <v>1</v>
      </c>
      <c r="O234" s="2">
        <f t="shared" si="27"/>
        <v>16</v>
      </c>
    </row>
    <row r="235" spans="1:15" x14ac:dyDescent="0.35">
      <c r="A235" s="2" t="s">
        <v>350</v>
      </c>
      <c r="B235" s="2" t="s">
        <v>351</v>
      </c>
      <c r="C235" s="2" t="s">
        <v>163</v>
      </c>
      <c r="D235" s="2" t="s">
        <v>332</v>
      </c>
      <c r="E235" s="2" t="s">
        <v>353</v>
      </c>
      <c r="F235" s="2" t="s">
        <v>20</v>
      </c>
      <c r="G235" s="2" t="s">
        <v>21</v>
      </c>
      <c r="H235" s="2">
        <f>IF(C235="Dynasty Autographs",Calculator!$E$4,IF(C235="Debut Day Inscriptions",Calculator!$E$5,IFERROR(VALUE(SUBSTITUTE(F235,"/","")),0)))</f>
        <v>10</v>
      </c>
      <c r="I235" s="2">
        <f t="shared" si="21"/>
        <v>0</v>
      </c>
      <c r="J235" s="2">
        <f t="shared" si="22"/>
        <v>0</v>
      </c>
      <c r="K235" s="2">
        <f t="shared" si="23"/>
        <v>0</v>
      </c>
      <c r="L235" s="2">
        <f t="shared" si="24"/>
        <v>10</v>
      </c>
      <c r="M235" s="2">
        <f t="shared" si="25"/>
        <v>5</v>
      </c>
      <c r="N235" s="2">
        <f t="shared" si="26"/>
        <v>1</v>
      </c>
      <c r="O235" s="2">
        <f t="shared" si="27"/>
        <v>16</v>
      </c>
    </row>
    <row r="236" spans="1:15" x14ac:dyDescent="0.35">
      <c r="A236" s="2" t="s">
        <v>350</v>
      </c>
      <c r="B236" s="2" t="s">
        <v>351</v>
      </c>
      <c r="C236" s="2" t="s">
        <v>163</v>
      </c>
      <c r="D236" s="2" t="s">
        <v>332</v>
      </c>
      <c r="E236" s="2" t="s">
        <v>354</v>
      </c>
      <c r="F236" s="2" t="s">
        <v>20</v>
      </c>
      <c r="G236" s="2" t="s">
        <v>21</v>
      </c>
      <c r="H236" s="2">
        <f>IF(C236="Dynasty Autographs",Calculator!$E$4,IF(C236="Debut Day Inscriptions",Calculator!$E$5,IFERROR(VALUE(SUBSTITUTE(F236,"/","")),0)))</f>
        <v>10</v>
      </c>
      <c r="I236" s="2">
        <f t="shared" si="21"/>
        <v>0</v>
      </c>
      <c r="J236" s="2">
        <f t="shared" si="22"/>
        <v>0</v>
      </c>
      <c r="K236" s="2">
        <f t="shared" si="23"/>
        <v>0</v>
      </c>
      <c r="L236" s="2">
        <f t="shared" si="24"/>
        <v>10</v>
      </c>
      <c r="M236" s="2">
        <f t="shared" si="25"/>
        <v>5</v>
      </c>
      <c r="N236" s="2">
        <f t="shared" si="26"/>
        <v>1</v>
      </c>
      <c r="O236" s="2">
        <f t="shared" si="27"/>
        <v>16</v>
      </c>
    </row>
    <row r="237" spans="1:15" x14ac:dyDescent="0.35">
      <c r="A237" s="2" t="s">
        <v>350</v>
      </c>
      <c r="B237" s="2" t="s">
        <v>351</v>
      </c>
      <c r="C237" s="2" t="s">
        <v>163</v>
      </c>
      <c r="D237" s="2" t="s">
        <v>332</v>
      </c>
      <c r="E237" s="2" t="s">
        <v>355</v>
      </c>
      <c r="F237" s="2" t="s">
        <v>20</v>
      </c>
      <c r="G237" s="2" t="s">
        <v>21</v>
      </c>
      <c r="H237" s="2">
        <f>IF(C237="Dynasty Autographs",Calculator!$E$4,IF(C237="Debut Day Inscriptions",Calculator!$E$5,IFERROR(VALUE(SUBSTITUTE(F237,"/","")),0)))</f>
        <v>10</v>
      </c>
      <c r="I237" s="2">
        <f t="shared" si="21"/>
        <v>0</v>
      </c>
      <c r="J237" s="2">
        <f t="shared" si="22"/>
        <v>0</v>
      </c>
      <c r="K237" s="2">
        <f t="shared" si="23"/>
        <v>0</v>
      </c>
      <c r="L237" s="2">
        <f t="shared" si="24"/>
        <v>10</v>
      </c>
      <c r="M237" s="2">
        <f t="shared" si="25"/>
        <v>5</v>
      </c>
      <c r="N237" s="2">
        <f t="shared" si="26"/>
        <v>1</v>
      </c>
      <c r="O237" s="2">
        <f t="shared" si="27"/>
        <v>16</v>
      </c>
    </row>
    <row r="238" spans="1:15" x14ac:dyDescent="0.35">
      <c r="A238" s="2" t="s">
        <v>350</v>
      </c>
      <c r="B238" s="2" t="s">
        <v>351</v>
      </c>
      <c r="C238" s="2" t="s">
        <v>163</v>
      </c>
      <c r="D238" s="2" t="s">
        <v>332</v>
      </c>
      <c r="E238" s="2" t="s">
        <v>356</v>
      </c>
      <c r="F238" s="2" t="s">
        <v>20</v>
      </c>
      <c r="G238" s="2" t="s">
        <v>21</v>
      </c>
      <c r="H238" s="2">
        <f>IF(C238="Dynasty Autographs",Calculator!$E$4,IF(C238="Debut Day Inscriptions",Calculator!$E$5,IFERROR(VALUE(SUBSTITUTE(F238,"/","")),0)))</f>
        <v>10</v>
      </c>
      <c r="I238" s="2">
        <f t="shared" si="21"/>
        <v>0</v>
      </c>
      <c r="J238" s="2">
        <f t="shared" si="22"/>
        <v>0</v>
      </c>
      <c r="K238" s="2">
        <f t="shared" si="23"/>
        <v>0</v>
      </c>
      <c r="L238" s="2">
        <f t="shared" si="24"/>
        <v>10</v>
      </c>
      <c r="M238" s="2">
        <f t="shared" si="25"/>
        <v>5</v>
      </c>
      <c r="N238" s="2">
        <f t="shared" si="26"/>
        <v>1</v>
      </c>
      <c r="O238" s="2">
        <f t="shared" si="27"/>
        <v>16</v>
      </c>
    </row>
    <row r="239" spans="1:15" x14ac:dyDescent="0.35">
      <c r="A239" s="2" t="s">
        <v>357</v>
      </c>
      <c r="B239" s="2" t="s">
        <v>63</v>
      </c>
      <c r="C239" s="2" t="s">
        <v>163</v>
      </c>
      <c r="D239" s="2" t="s">
        <v>332</v>
      </c>
      <c r="E239" s="2" t="s">
        <v>358</v>
      </c>
      <c r="F239" s="2" t="s">
        <v>20</v>
      </c>
      <c r="G239" s="2" t="s">
        <v>21</v>
      </c>
      <c r="H239" s="2">
        <f>IF(C239="Dynasty Autographs",Calculator!$E$4,IF(C239="Debut Day Inscriptions",Calculator!$E$5,IFERROR(VALUE(SUBSTITUTE(F239,"/","")),0)))</f>
        <v>10</v>
      </c>
      <c r="I239" s="2">
        <f t="shared" si="21"/>
        <v>0</v>
      </c>
      <c r="J239" s="2">
        <f t="shared" si="22"/>
        <v>0</v>
      </c>
      <c r="K239" s="2">
        <f t="shared" si="23"/>
        <v>0</v>
      </c>
      <c r="L239" s="2">
        <f t="shared" si="24"/>
        <v>10</v>
      </c>
      <c r="M239" s="2">
        <f t="shared" si="25"/>
        <v>5</v>
      </c>
      <c r="N239" s="2">
        <f t="shared" si="26"/>
        <v>1</v>
      </c>
      <c r="O239" s="2">
        <f t="shared" si="27"/>
        <v>16</v>
      </c>
    </row>
    <row r="240" spans="1:15" x14ac:dyDescent="0.35">
      <c r="A240" s="2" t="s">
        <v>357</v>
      </c>
      <c r="B240" s="2" t="s">
        <v>63</v>
      </c>
      <c r="C240" s="2" t="s">
        <v>163</v>
      </c>
      <c r="D240" s="2" t="s">
        <v>332</v>
      </c>
      <c r="E240" s="2" t="s">
        <v>359</v>
      </c>
      <c r="F240" s="2" t="s">
        <v>20</v>
      </c>
      <c r="G240" s="2" t="s">
        <v>21</v>
      </c>
      <c r="H240" s="2">
        <f>IF(C240="Dynasty Autographs",Calculator!$E$4,IF(C240="Debut Day Inscriptions",Calculator!$E$5,IFERROR(VALUE(SUBSTITUTE(F240,"/","")),0)))</f>
        <v>10</v>
      </c>
      <c r="I240" s="2">
        <f t="shared" si="21"/>
        <v>0</v>
      </c>
      <c r="J240" s="2">
        <f t="shared" si="22"/>
        <v>0</v>
      </c>
      <c r="K240" s="2">
        <f t="shared" si="23"/>
        <v>0</v>
      </c>
      <c r="L240" s="2">
        <f t="shared" si="24"/>
        <v>10</v>
      </c>
      <c r="M240" s="2">
        <f t="shared" si="25"/>
        <v>5</v>
      </c>
      <c r="N240" s="2">
        <f t="shared" si="26"/>
        <v>1</v>
      </c>
      <c r="O240" s="2">
        <f t="shared" si="27"/>
        <v>16</v>
      </c>
    </row>
    <row r="241" spans="1:15" x14ac:dyDescent="0.35">
      <c r="A241" s="2" t="s">
        <v>357</v>
      </c>
      <c r="B241" s="2" t="s">
        <v>63</v>
      </c>
      <c r="C241" s="2" t="s">
        <v>163</v>
      </c>
      <c r="D241" s="2" t="s">
        <v>332</v>
      </c>
      <c r="E241" s="2" t="s">
        <v>360</v>
      </c>
      <c r="F241" s="2" t="s">
        <v>20</v>
      </c>
      <c r="G241" s="2" t="s">
        <v>21</v>
      </c>
      <c r="H241" s="2">
        <f>IF(C241="Dynasty Autographs",Calculator!$E$4,IF(C241="Debut Day Inscriptions",Calculator!$E$5,IFERROR(VALUE(SUBSTITUTE(F241,"/","")),0)))</f>
        <v>10</v>
      </c>
      <c r="I241" s="2">
        <f t="shared" si="21"/>
        <v>0</v>
      </c>
      <c r="J241" s="2">
        <f t="shared" si="22"/>
        <v>0</v>
      </c>
      <c r="K241" s="2">
        <f t="shared" si="23"/>
        <v>0</v>
      </c>
      <c r="L241" s="2">
        <f t="shared" si="24"/>
        <v>10</v>
      </c>
      <c r="M241" s="2">
        <f t="shared" si="25"/>
        <v>5</v>
      </c>
      <c r="N241" s="2">
        <f t="shared" si="26"/>
        <v>1</v>
      </c>
      <c r="O241" s="2">
        <f t="shared" si="27"/>
        <v>16</v>
      </c>
    </row>
    <row r="242" spans="1:15" x14ac:dyDescent="0.35">
      <c r="A242" s="2" t="s">
        <v>357</v>
      </c>
      <c r="B242" s="2" t="s">
        <v>63</v>
      </c>
      <c r="C242" s="2" t="s">
        <v>163</v>
      </c>
      <c r="D242" s="2" t="s">
        <v>332</v>
      </c>
      <c r="E242" s="2" t="s">
        <v>361</v>
      </c>
      <c r="F242" s="2" t="s">
        <v>20</v>
      </c>
      <c r="G242" s="2" t="s">
        <v>21</v>
      </c>
      <c r="H242" s="2">
        <f>IF(C242="Dynasty Autographs",Calculator!$E$4,IF(C242="Debut Day Inscriptions",Calculator!$E$5,IFERROR(VALUE(SUBSTITUTE(F242,"/","")),0)))</f>
        <v>10</v>
      </c>
      <c r="I242" s="2">
        <f t="shared" si="21"/>
        <v>0</v>
      </c>
      <c r="J242" s="2">
        <f t="shared" si="22"/>
        <v>0</v>
      </c>
      <c r="K242" s="2">
        <f t="shared" si="23"/>
        <v>0</v>
      </c>
      <c r="L242" s="2">
        <f t="shared" si="24"/>
        <v>10</v>
      </c>
      <c r="M242" s="2">
        <f t="shared" si="25"/>
        <v>5</v>
      </c>
      <c r="N242" s="2">
        <f t="shared" si="26"/>
        <v>1</v>
      </c>
      <c r="O242" s="2">
        <f t="shared" si="27"/>
        <v>16</v>
      </c>
    </row>
    <row r="243" spans="1:15" x14ac:dyDescent="0.35">
      <c r="A243" s="2" t="s">
        <v>357</v>
      </c>
      <c r="B243" s="2" t="s">
        <v>63</v>
      </c>
      <c r="C243" s="2" t="s">
        <v>163</v>
      </c>
      <c r="D243" s="2" t="s">
        <v>332</v>
      </c>
      <c r="E243" s="2" t="s">
        <v>362</v>
      </c>
      <c r="F243" s="2" t="s">
        <v>20</v>
      </c>
      <c r="G243" s="2" t="s">
        <v>21</v>
      </c>
      <c r="H243" s="2">
        <f>IF(C243="Dynasty Autographs",Calculator!$E$4,IF(C243="Debut Day Inscriptions",Calculator!$E$5,IFERROR(VALUE(SUBSTITUTE(F243,"/","")),0)))</f>
        <v>10</v>
      </c>
      <c r="I243" s="2">
        <f t="shared" si="21"/>
        <v>0</v>
      </c>
      <c r="J243" s="2">
        <f t="shared" si="22"/>
        <v>0</v>
      </c>
      <c r="K243" s="2">
        <f t="shared" si="23"/>
        <v>0</v>
      </c>
      <c r="L243" s="2">
        <f t="shared" si="24"/>
        <v>10</v>
      </c>
      <c r="M243" s="2">
        <f t="shared" si="25"/>
        <v>5</v>
      </c>
      <c r="N243" s="2">
        <f t="shared" si="26"/>
        <v>1</v>
      </c>
      <c r="O243" s="2">
        <f t="shared" si="27"/>
        <v>16</v>
      </c>
    </row>
    <row r="244" spans="1:15" x14ac:dyDescent="0.35">
      <c r="A244" s="2" t="s">
        <v>363</v>
      </c>
      <c r="B244" s="2" t="s">
        <v>33</v>
      </c>
      <c r="C244" s="2" t="s">
        <v>163</v>
      </c>
      <c r="D244" s="2" t="s">
        <v>332</v>
      </c>
      <c r="E244" s="2" t="s">
        <v>364</v>
      </c>
      <c r="F244" s="2" t="s">
        <v>20</v>
      </c>
      <c r="G244" s="2" t="s">
        <v>21</v>
      </c>
      <c r="H244" s="2">
        <f>IF(C244="Dynasty Autographs",Calculator!$E$4,IF(C244="Debut Day Inscriptions",Calculator!$E$5,IFERROR(VALUE(SUBSTITUTE(F244,"/","")),0)))</f>
        <v>10</v>
      </c>
      <c r="I244" s="2">
        <f t="shared" si="21"/>
        <v>0</v>
      </c>
      <c r="J244" s="2">
        <f t="shared" si="22"/>
        <v>0</v>
      </c>
      <c r="K244" s="2">
        <f t="shared" si="23"/>
        <v>0</v>
      </c>
      <c r="L244" s="2">
        <f t="shared" si="24"/>
        <v>10</v>
      </c>
      <c r="M244" s="2">
        <f t="shared" si="25"/>
        <v>5</v>
      </c>
      <c r="N244" s="2">
        <f t="shared" si="26"/>
        <v>1</v>
      </c>
      <c r="O244" s="2">
        <f t="shared" si="27"/>
        <v>16</v>
      </c>
    </row>
    <row r="245" spans="1:15" x14ac:dyDescent="0.35">
      <c r="A245" s="2" t="s">
        <v>363</v>
      </c>
      <c r="B245" s="2" t="s">
        <v>33</v>
      </c>
      <c r="C245" s="2" t="s">
        <v>163</v>
      </c>
      <c r="D245" s="2" t="s">
        <v>332</v>
      </c>
      <c r="E245" s="2" t="s">
        <v>365</v>
      </c>
      <c r="F245" s="2" t="s">
        <v>20</v>
      </c>
      <c r="G245" s="2" t="s">
        <v>21</v>
      </c>
      <c r="H245" s="2">
        <f>IF(C245="Dynasty Autographs",Calculator!$E$4,IF(C245="Debut Day Inscriptions",Calculator!$E$5,IFERROR(VALUE(SUBSTITUTE(F245,"/","")),0)))</f>
        <v>10</v>
      </c>
      <c r="I245" s="2">
        <f t="shared" si="21"/>
        <v>0</v>
      </c>
      <c r="J245" s="2">
        <f t="shared" si="22"/>
        <v>0</v>
      </c>
      <c r="K245" s="2">
        <f t="shared" si="23"/>
        <v>0</v>
      </c>
      <c r="L245" s="2">
        <f t="shared" si="24"/>
        <v>10</v>
      </c>
      <c r="M245" s="2">
        <f t="shared" si="25"/>
        <v>5</v>
      </c>
      <c r="N245" s="2">
        <f t="shared" si="26"/>
        <v>1</v>
      </c>
      <c r="O245" s="2">
        <f t="shared" si="27"/>
        <v>16</v>
      </c>
    </row>
    <row r="246" spans="1:15" x14ac:dyDescent="0.35">
      <c r="A246" s="2" t="s">
        <v>363</v>
      </c>
      <c r="B246" s="2" t="s">
        <v>33</v>
      </c>
      <c r="C246" s="2" t="s">
        <v>163</v>
      </c>
      <c r="D246" s="2" t="s">
        <v>332</v>
      </c>
      <c r="E246" s="2" t="s">
        <v>366</v>
      </c>
      <c r="F246" s="2" t="s">
        <v>20</v>
      </c>
      <c r="G246" s="2" t="s">
        <v>21</v>
      </c>
      <c r="H246" s="2">
        <f>IF(C246="Dynasty Autographs",Calculator!$E$4,IF(C246="Debut Day Inscriptions",Calculator!$E$5,IFERROR(VALUE(SUBSTITUTE(F246,"/","")),0)))</f>
        <v>10</v>
      </c>
      <c r="I246" s="2">
        <f t="shared" si="21"/>
        <v>0</v>
      </c>
      <c r="J246" s="2">
        <f t="shared" si="22"/>
        <v>0</v>
      </c>
      <c r="K246" s="2">
        <f t="shared" si="23"/>
        <v>0</v>
      </c>
      <c r="L246" s="2">
        <f t="shared" si="24"/>
        <v>10</v>
      </c>
      <c r="M246" s="2">
        <f t="shared" si="25"/>
        <v>5</v>
      </c>
      <c r="N246" s="2">
        <f t="shared" si="26"/>
        <v>1</v>
      </c>
      <c r="O246" s="2">
        <f t="shared" si="27"/>
        <v>16</v>
      </c>
    </row>
    <row r="247" spans="1:15" x14ac:dyDescent="0.35">
      <c r="A247" s="2" t="s">
        <v>367</v>
      </c>
      <c r="B247" s="2" t="s">
        <v>63</v>
      </c>
      <c r="C247" s="2" t="s">
        <v>163</v>
      </c>
      <c r="D247" s="2" t="s">
        <v>332</v>
      </c>
      <c r="E247" s="2" t="s">
        <v>368</v>
      </c>
      <c r="F247" s="2" t="s">
        <v>20</v>
      </c>
      <c r="G247" s="2" t="s">
        <v>21</v>
      </c>
      <c r="H247" s="2">
        <f>IF(C247="Dynasty Autographs",Calculator!$E$4,IF(C247="Debut Day Inscriptions",Calculator!$E$5,IFERROR(VALUE(SUBSTITUTE(F247,"/","")),0)))</f>
        <v>10</v>
      </c>
      <c r="I247" s="2">
        <f t="shared" si="21"/>
        <v>0</v>
      </c>
      <c r="J247" s="2">
        <f t="shared" si="22"/>
        <v>0</v>
      </c>
      <c r="K247" s="2">
        <f t="shared" si="23"/>
        <v>0</v>
      </c>
      <c r="L247" s="2">
        <f t="shared" si="24"/>
        <v>10</v>
      </c>
      <c r="M247" s="2">
        <f t="shared" si="25"/>
        <v>5</v>
      </c>
      <c r="N247" s="2">
        <f t="shared" si="26"/>
        <v>1</v>
      </c>
      <c r="O247" s="2">
        <f t="shared" si="27"/>
        <v>16</v>
      </c>
    </row>
    <row r="248" spans="1:15" x14ac:dyDescent="0.35">
      <c r="A248" s="2" t="s">
        <v>367</v>
      </c>
      <c r="B248" s="2" t="s">
        <v>63</v>
      </c>
      <c r="C248" s="2" t="s">
        <v>163</v>
      </c>
      <c r="D248" s="2" t="s">
        <v>332</v>
      </c>
      <c r="E248" s="2" t="s">
        <v>369</v>
      </c>
      <c r="F248" s="2" t="s">
        <v>20</v>
      </c>
      <c r="G248" s="2" t="s">
        <v>21</v>
      </c>
      <c r="H248" s="2">
        <f>IF(C248="Dynasty Autographs",Calculator!$E$4,IF(C248="Debut Day Inscriptions",Calculator!$E$5,IFERROR(VALUE(SUBSTITUTE(F248,"/","")),0)))</f>
        <v>10</v>
      </c>
      <c r="I248" s="2">
        <f t="shared" si="21"/>
        <v>0</v>
      </c>
      <c r="J248" s="2">
        <f t="shared" si="22"/>
        <v>0</v>
      </c>
      <c r="K248" s="2">
        <f t="shared" si="23"/>
        <v>0</v>
      </c>
      <c r="L248" s="2">
        <f t="shared" si="24"/>
        <v>10</v>
      </c>
      <c r="M248" s="2">
        <f t="shared" si="25"/>
        <v>5</v>
      </c>
      <c r="N248" s="2">
        <f t="shared" si="26"/>
        <v>1</v>
      </c>
      <c r="O248" s="2">
        <f t="shared" si="27"/>
        <v>16</v>
      </c>
    </row>
    <row r="249" spans="1:15" x14ac:dyDescent="0.35">
      <c r="A249" s="2" t="s">
        <v>67</v>
      </c>
      <c r="B249" s="2" t="s">
        <v>36</v>
      </c>
      <c r="C249" s="2" t="s">
        <v>163</v>
      </c>
      <c r="D249" s="2" t="s">
        <v>332</v>
      </c>
      <c r="E249" s="2" t="s">
        <v>370</v>
      </c>
      <c r="F249" s="2" t="s">
        <v>20</v>
      </c>
      <c r="G249" s="2" t="s">
        <v>21</v>
      </c>
      <c r="H249" s="2">
        <f>IF(C249="Dynasty Autographs",Calculator!$E$4,IF(C249="Debut Day Inscriptions",Calculator!$E$5,IFERROR(VALUE(SUBSTITUTE(F249,"/","")),0)))</f>
        <v>10</v>
      </c>
      <c r="I249" s="2">
        <f t="shared" si="21"/>
        <v>0</v>
      </c>
      <c r="J249" s="2">
        <f t="shared" si="22"/>
        <v>0</v>
      </c>
      <c r="K249" s="2">
        <f t="shared" si="23"/>
        <v>0</v>
      </c>
      <c r="L249" s="2">
        <f t="shared" si="24"/>
        <v>10</v>
      </c>
      <c r="M249" s="2">
        <f t="shared" si="25"/>
        <v>5</v>
      </c>
      <c r="N249" s="2">
        <f t="shared" si="26"/>
        <v>1</v>
      </c>
      <c r="O249" s="2">
        <f t="shared" si="27"/>
        <v>16</v>
      </c>
    </row>
    <row r="250" spans="1:15" x14ac:dyDescent="0.35">
      <c r="A250" s="2" t="s">
        <v>67</v>
      </c>
      <c r="B250" s="2" t="s">
        <v>36</v>
      </c>
      <c r="C250" s="2" t="s">
        <v>163</v>
      </c>
      <c r="D250" s="2" t="s">
        <v>332</v>
      </c>
      <c r="E250" s="2" t="s">
        <v>371</v>
      </c>
      <c r="F250" s="2" t="s">
        <v>20</v>
      </c>
      <c r="G250" s="2" t="s">
        <v>21</v>
      </c>
      <c r="H250" s="2">
        <f>IF(C250="Dynasty Autographs",Calculator!$E$4,IF(C250="Debut Day Inscriptions",Calculator!$E$5,IFERROR(VALUE(SUBSTITUTE(F250,"/","")),0)))</f>
        <v>10</v>
      </c>
      <c r="I250" s="2">
        <f t="shared" si="21"/>
        <v>0</v>
      </c>
      <c r="J250" s="2">
        <f t="shared" si="22"/>
        <v>0</v>
      </c>
      <c r="K250" s="2">
        <f t="shared" si="23"/>
        <v>0</v>
      </c>
      <c r="L250" s="2">
        <f t="shared" si="24"/>
        <v>10</v>
      </c>
      <c r="M250" s="2">
        <f t="shared" si="25"/>
        <v>5</v>
      </c>
      <c r="N250" s="2">
        <f t="shared" si="26"/>
        <v>1</v>
      </c>
      <c r="O250" s="2">
        <f t="shared" si="27"/>
        <v>16</v>
      </c>
    </row>
    <row r="251" spans="1:15" x14ac:dyDescent="0.35">
      <c r="A251" s="2" t="s">
        <v>372</v>
      </c>
      <c r="B251" s="2" t="s">
        <v>142</v>
      </c>
      <c r="C251" s="2" t="s">
        <v>163</v>
      </c>
      <c r="D251" s="2" t="s">
        <v>332</v>
      </c>
      <c r="E251" s="2" t="s">
        <v>373</v>
      </c>
      <c r="F251" s="2" t="s">
        <v>20</v>
      </c>
      <c r="G251" s="2" t="s">
        <v>21</v>
      </c>
      <c r="H251" s="2">
        <f>IF(C251="Dynasty Autographs",Calculator!$E$4,IF(C251="Debut Day Inscriptions",Calculator!$E$5,IFERROR(VALUE(SUBSTITUTE(F251,"/","")),0)))</f>
        <v>10</v>
      </c>
      <c r="I251" s="2">
        <f t="shared" si="21"/>
        <v>0</v>
      </c>
      <c r="J251" s="2">
        <f t="shared" si="22"/>
        <v>0</v>
      </c>
      <c r="K251" s="2">
        <f t="shared" si="23"/>
        <v>0</v>
      </c>
      <c r="L251" s="2">
        <f t="shared" si="24"/>
        <v>10</v>
      </c>
      <c r="M251" s="2">
        <f t="shared" si="25"/>
        <v>5</v>
      </c>
      <c r="N251" s="2">
        <f t="shared" si="26"/>
        <v>1</v>
      </c>
      <c r="O251" s="2">
        <f t="shared" si="27"/>
        <v>16</v>
      </c>
    </row>
    <row r="252" spans="1:15" x14ac:dyDescent="0.35">
      <c r="A252" s="2" t="s">
        <v>372</v>
      </c>
      <c r="B252" s="2" t="s">
        <v>142</v>
      </c>
      <c r="C252" s="2" t="s">
        <v>163</v>
      </c>
      <c r="D252" s="2" t="s">
        <v>332</v>
      </c>
      <c r="E252" s="2" t="s">
        <v>374</v>
      </c>
      <c r="F252" s="2" t="s">
        <v>20</v>
      </c>
      <c r="G252" s="2" t="s">
        <v>21</v>
      </c>
      <c r="H252" s="2">
        <f>IF(C252="Dynasty Autographs",Calculator!$E$4,IF(C252="Debut Day Inscriptions",Calculator!$E$5,IFERROR(VALUE(SUBSTITUTE(F252,"/","")),0)))</f>
        <v>10</v>
      </c>
      <c r="I252" s="2">
        <f t="shared" si="21"/>
        <v>0</v>
      </c>
      <c r="J252" s="2">
        <f t="shared" si="22"/>
        <v>0</v>
      </c>
      <c r="K252" s="2">
        <f t="shared" si="23"/>
        <v>0</v>
      </c>
      <c r="L252" s="2">
        <f t="shared" si="24"/>
        <v>10</v>
      </c>
      <c r="M252" s="2">
        <f t="shared" si="25"/>
        <v>5</v>
      </c>
      <c r="N252" s="2">
        <f t="shared" si="26"/>
        <v>1</v>
      </c>
      <c r="O252" s="2">
        <f t="shared" si="27"/>
        <v>16</v>
      </c>
    </row>
    <row r="253" spans="1:15" x14ac:dyDescent="0.35">
      <c r="A253" s="2" t="s">
        <v>372</v>
      </c>
      <c r="B253" s="2" t="s">
        <v>142</v>
      </c>
      <c r="C253" s="2" t="s">
        <v>163</v>
      </c>
      <c r="D253" s="2" t="s">
        <v>332</v>
      </c>
      <c r="E253" s="2" t="s">
        <v>375</v>
      </c>
      <c r="F253" s="2" t="s">
        <v>20</v>
      </c>
      <c r="G253" s="2" t="s">
        <v>21</v>
      </c>
      <c r="H253" s="2">
        <f>IF(C253="Dynasty Autographs",Calculator!$E$4,IF(C253="Debut Day Inscriptions",Calculator!$E$5,IFERROR(VALUE(SUBSTITUTE(F253,"/","")),0)))</f>
        <v>10</v>
      </c>
      <c r="I253" s="2">
        <f t="shared" si="21"/>
        <v>0</v>
      </c>
      <c r="J253" s="2">
        <f t="shared" si="22"/>
        <v>0</v>
      </c>
      <c r="K253" s="2">
        <f t="shared" si="23"/>
        <v>0</v>
      </c>
      <c r="L253" s="2">
        <f t="shared" si="24"/>
        <v>10</v>
      </c>
      <c r="M253" s="2">
        <f t="shared" si="25"/>
        <v>5</v>
      </c>
      <c r="N253" s="2">
        <f t="shared" si="26"/>
        <v>1</v>
      </c>
      <c r="O253" s="2">
        <f t="shared" si="27"/>
        <v>16</v>
      </c>
    </row>
    <row r="254" spans="1:15" x14ac:dyDescent="0.35">
      <c r="A254" s="2" t="s">
        <v>372</v>
      </c>
      <c r="B254" s="2" t="s">
        <v>142</v>
      </c>
      <c r="C254" s="2" t="s">
        <v>163</v>
      </c>
      <c r="D254" s="2" t="s">
        <v>332</v>
      </c>
      <c r="E254" s="2" t="s">
        <v>376</v>
      </c>
      <c r="F254" s="2" t="s">
        <v>20</v>
      </c>
      <c r="G254" s="2" t="s">
        <v>21</v>
      </c>
      <c r="H254" s="2">
        <f>IF(C254="Dynasty Autographs",Calculator!$E$4,IF(C254="Debut Day Inscriptions",Calculator!$E$5,IFERROR(VALUE(SUBSTITUTE(F254,"/","")),0)))</f>
        <v>10</v>
      </c>
      <c r="I254" s="2">
        <f t="shared" si="21"/>
        <v>0</v>
      </c>
      <c r="J254" s="2">
        <f t="shared" si="22"/>
        <v>0</v>
      </c>
      <c r="K254" s="2">
        <f t="shared" si="23"/>
        <v>0</v>
      </c>
      <c r="L254" s="2">
        <f t="shared" si="24"/>
        <v>10</v>
      </c>
      <c r="M254" s="2">
        <f t="shared" si="25"/>
        <v>5</v>
      </c>
      <c r="N254" s="2">
        <f t="shared" si="26"/>
        <v>1</v>
      </c>
      <c r="O254" s="2">
        <f t="shared" si="27"/>
        <v>16</v>
      </c>
    </row>
    <row r="255" spans="1:15" x14ac:dyDescent="0.35">
      <c r="A255" s="2" t="s">
        <v>372</v>
      </c>
      <c r="B255" s="2" t="s">
        <v>142</v>
      </c>
      <c r="C255" s="2" t="s">
        <v>163</v>
      </c>
      <c r="D255" s="2" t="s">
        <v>332</v>
      </c>
      <c r="E255" s="2" t="s">
        <v>377</v>
      </c>
      <c r="F255" s="2" t="s">
        <v>20</v>
      </c>
      <c r="G255" s="2" t="s">
        <v>21</v>
      </c>
      <c r="H255" s="2">
        <f>IF(C255="Dynasty Autographs",Calculator!$E$4,IF(C255="Debut Day Inscriptions",Calculator!$E$5,IFERROR(VALUE(SUBSTITUTE(F255,"/","")),0)))</f>
        <v>10</v>
      </c>
      <c r="I255" s="2">
        <f t="shared" si="21"/>
        <v>0</v>
      </c>
      <c r="J255" s="2">
        <f t="shared" si="22"/>
        <v>0</v>
      </c>
      <c r="K255" s="2">
        <f t="shared" si="23"/>
        <v>0</v>
      </c>
      <c r="L255" s="2">
        <f t="shared" si="24"/>
        <v>10</v>
      </c>
      <c r="M255" s="2">
        <f t="shared" si="25"/>
        <v>5</v>
      </c>
      <c r="N255" s="2">
        <f t="shared" si="26"/>
        <v>1</v>
      </c>
      <c r="O255" s="2">
        <f t="shared" si="27"/>
        <v>16</v>
      </c>
    </row>
    <row r="256" spans="1:15" x14ac:dyDescent="0.35">
      <c r="A256" s="2" t="s">
        <v>378</v>
      </c>
      <c r="B256" s="2" t="s">
        <v>42</v>
      </c>
      <c r="C256" s="2" t="s">
        <v>163</v>
      </c>
      <c r="D256" s="2" t="s">
        <v>332</v>
      </c>
      <c r="E256" s="2" t="s">
        <v>379</v>
      </c>
      <c r="F256" s="2" t="s">
        <v>20</v>
      </c>
      <c r="G256" s="2" t="s">
        <v>21</v>
      </c>
      <c r="H256" s="2">
        <f>IF(C256="Dynasty Autographs",Calculator!$E$4,IF(C256="Debut Day Inscriptions",Calculator!$E$5,IFERROR(VALUE(SUBSTITUTE(F256,"/","")),0)))</f>
        <v>10</v>
      </c>
      <c r="I256" s="2">
        <f t="shared" si="21"/>
        <v>0</v>
      </c>
      <c r="J256" s="2">
        <f t="shared" si="22"/>
        <v>0</v>
      </c>
      <c r="K256" s="2">
        <f t="shared" si="23"/>
        <v>0</v>
      </c>
      <c r="L256" s="2">
        <f t="shared" si="24"/>
        <v>10</v>
      </c>
      <c r="M256" s="2">
        <f t="shared" si="25"/>
        <v>5</v>
      </c>
      <c r="N256" s="2">
        <f t="shared" si="26"/>
        <v>1</v>
      </c>
      <c r="O256" s="2">
        <f t="shared" si="27"/>
        <v>16</v>
      </c>
    </row>
    <row r="257" spans="1:15" x14ac:dyDescent="0.35">
      <c r="A257" s="2" t="s">
        <v>378</v>
      </c>
      <c r="B257" s="2" t="s">
        <v>42</v>
      </c>
      <c r="C257" s="2" t="s">
        <v>163</v>
      </c>
      <c r="D257" s="2" t="s">
        <v>332</v>
      </c>
      <c r="E257" s="2" t="s">
        <v>380</v>
      </c>
      <c r="F257" s="2" t="s">
        <v>20</v>
      </c>
      <c r="G257" s="2" t="s">
        <v>21</v>
      </c>
      <c r="H257" s="2">
        <f>IF(C257="Dynasty Autographs",Calculator!$E$4,IF(C257="Debut Day Inscriptions",Calculator!$E$5,IFERROR(VALUE(SUBSTITUTE(F257,"/","")),0)))</f>
        <v>10</v>
      </c>
      <c r="I257" s="2">
        <f t="shared" si="21"/>
        <v>0</v>
      </c>
      <c r="J257" s="2">
        <f t="shared" si="22"/>
        <v>0</v>
      </c>
      <c r="K257" s="2">
        <f t="shared" si="23"/>
        <v>0</v>
      </c>
      <c r="L257" s="2">
        <f t="shared" si="24"/>
        <v>10</v>
      </c>
      <c r="M257" s="2">
        <f t="shared" si="25"/>
        <v>5</v>
      </c>
      <c r="N257" s="2">
        <f t="shared" si="26"/>
        <v>1</v>
      </c>
      <c r="O257" s="2">
        <f t="shared" si="27"/>
        <v>16</v>
      </c>
    </row>
    <row r="258" spans="1:15" x14ac:dyDescent="0.35">
      <c r="A258" s="2" t="s">
        <v>378</v>
      </c>
      <c r="B258" s="2" t="s">
        <v>42</v>
      </c>
      <c r="C258" s="2" t="s">
        <v>163</v>
      </c>
      <c r="D258" s="2" t="s">
        <v>332</v>
      </c>
      <c r="E258" s="2" t="s">
        <v>381</v>
      </c>
      <c r="F258" s="2" t="s">
        <v>20</v>
      </c>
      <c r="G258" s="2" t="s">
        <v>21</v>
      </c>
      <c r="H258" s="2">
        <f>IF(C258="Dynasty Autographs",Calculator!$E$4,IF(C258="Debut Day Inscriptions",Calculator!$E$5,IFERROR(VALUE(SUBSTITUTE(F258,"/","")),0)))</f>
        <v>10</v>
      </c>
      <c r="I258" s="2">
        <f t="shared" ref="I258:I321" si="28">IF(H258=99,99,IF(ISNUMBER(SEARCH("/99",G258)),99,0))</f>
        <v>0</v>
      </c>
      <c r="J258" s="2">
        <f t="shared" ref="J258:J321" si="29">IF(H258=50,50,IF(ISNUMBER(SEARCH("/50",G258)),50,0))</f>
        <v>0</v>
      </c>
      <c r="K258" s="2">
        <f t="shared" ref="K258:K321" si="30">IF(H258=25,25,IF(ISNUMBER(SEARCH("/25",G258)),25,0))</f>
        <v>0</v>
      </c>
      <c r="L258" s="2">
        <f t="shared" ref="L258:L321" si="31">IF(H258=10,10,IF(ISNUMBER(SEARCH("/10",G258)),10,0))</f>
        <v>10</v>
      </c>
      <c r="M258" s="2">
        <f t="shared" ref="M258:M321" si="32">IF(H258=5,5,IF(ISNUMBER(SEARCH("/5",G258)),5,0))</f>
        <v>5</v>
      </c>
      <c r="N258" s="2">
        <f t="shared" ref="N258:N321" si="33">IF(H258=1,1,IF(ISNUMBER(SEARCH("1/1",G258)),1,0))</f>
        <v>1</v>
      </c>
      <c r="O258" s="2">
        <f t="shared" ref="O258:O321" si="34">SUM(I258:N258)</f>
        <v>16</v>
      </c>
    </row>
    <row r="259" spans="1:15" x14ac:dyDescent="0.35">
      <c r="A259" s="2" t="s">
        <v>378</v>
      </c>
      <c r="B259" s="2" t="s">
        <v>42</v>
      </c>
      <c r="C259" s="2" t="s">
        <v>163</v>
      </c>
      <c r="D259" s="2" t="s">
        <v>332</v>
      </c>
      <c r="E259" s="2" t="s">
        <v>382</v>
      </c>
      <c r="F259" s="2" t="s">
        <v>20</v>
      </c>
      <c r="G259" s="2" t="s">
        <v>21</v>
      </c>
      <c r="H259" s="2">
        <f>IF(C259="Dynasty Autographs",Calculator!$E$4,IF(C259="Debut Day Inscriptions",Calculator!$E$5,IFERROR(VALUE(SUBSTITUTE(F259,"/","")),0)))</f>
        <v>10</v>
      </c>
      <c r="I259" s="2">
        <f t="shared" si="28"/>
        <v>0</v>
      </c>
      <c r="J259" s="2">
        <f t="shared" si="29"/>
        <v>0</v>
      </c>
      <c r="K259" s="2">
        <f t="shared" si="30"/>
        <v>0</v>
      </c>
      <c r="L259" s="2">
        <f t="shared" si="31"/>
        <v>10</v>
      </c>
      <c r="M259" s="2">
        <f t="shared" si="32"/>
        <v>5</v>
      </c>
      <c r="N259" s="2">
        <f t="shared" si="33"/>
        <v>1</v>
      </c>
      <c r="O259" s="2">
        <f t="shared" si="34"/>
        <v>16</v>
      </c>
    </row>
    <row r="260" spans="1:15" x14ac:dyDescent="0.35">
      <c r="A260" s="2" t="s">
        <v>378</v>
      </c>
      <c r="B260" s="2" t="s">
        <v>42</v>
      </c>
      <c r="C260" s="2" t="s">
        <v>163</v>
      </c>
      <c r="D260" s="2" t="s">
        <v>332</v>
      </c>
      <c r="E260" s="2" t="s">
        <v>383</v>
      </c>
      <c r="F260" s="2" t="s">
        <v>20</v>
      </c>
      <c r="G260" s="2" t="s">
        <v>21</v>
      </c>
      <c r="H260" s="2">
        <f>IF(C260="Dynasty Autographs",Calculator!$E$4,IF(C260="Debut Day Inscriptions",Calculator!$E$5,IFERROR(VALUE(SUBSTITUTE(F260,"/","")),0)))</f>
        <v>10</v>
      </c>
      <c r="I260" s="2">
        <f t="shared" si="28"/>
        <v>0</v>
      </c>
      <c r="J260" s="2">
        <f t="shared" si="29"/>
        <v>0</v>
      </c>
      <c r="K260" s="2">
        <f t="shared" si="30"/>
        <v>0</v>
      </c>
      <c r="L260" s="2">
        <f t="shared" si="31"/>
        <v>10</v>
      </c>
      <c r="M260" s="2">
        <f t="shared" si="32"/>
        <v>5</v>
      </c>
      <c r="N260" s="2">
        <f t="shared" si="33"/>
        <v>1</v>
      </c>
      <c r="O260" s="2">
        <f t="shared" si="34"/>
        <v>16</v>
      </c>
    </row>
    <row r="261" spans="1:15" x14ac:dyDescent="0.35">
      <c r="A261" s="2" t="s">
        <v>70</v>
      </c>
      <c r="B261" s="2" t="s">
        <v>71</v>
      </c>
      <c r="C261" s="2" t="s">
        <v>163</v>
      </c>
      <c r="D261" s="2" t="s">
        <v>332</v>
      </c>
      <c r="E261" s="2" t="s">
        <v>384</v>
      </c>
      <c r="F261" s="2" t="s">
        <v>20</v>
      </c>
      <c r="G261" s="2" t="s">
        <v>21</v>
      </c>
      <c r="H261" s="2">
        <f>IF(C261="Dynasty Autographs",Calculator!$E$4,IF(C261="Debut Day Inscriptions",Calculator!$E$5,IFERROR(VALUE(SUBSTITUTE(F261,"/","")),0)))</f>
        <v>10</v>
      </c>
      <c r="I261" s="2">
        <f t="shared" si="28"/>
        <v>0</v>
      </c>
      <c r="J261" s="2">
        <f t="shared" si="29"/>
        <v>0</v>
      </c>
      <c r="K261" s="2">
        <f t="shared" si="30"/>
        <v>0</v>
      </c>
      <c r="L261" s="2">
        <f t="shared" si="31"/>
        <v>10</v>
      </c>
      <c r="M261" s="2">
        <f t="shared" si="32"/>
        <v>5</v>
      </c>
      <c r="N261" s="2">
        <f t="shared" si="33"/>
        <v>1</v>
      </c>
      <c r="O261" s="2">
        <f t="shared" si="34"/>
        <v>16</v>
      </c>
    </row>
    <row r="262" spans="1:15" x14ac:dyDescent="0.35">
      <c r="A262" s="2" t="s">
        <v>70</v>
      </c>
      <c r="B262" s="2" t="s">
        <v>71</v>
      </c>
      <c r="C262" s="2" t="s">
        <v>163</v>
      </c>
      <c r="D262" s="2" t="s">
        <v>332</v>
      </c>
      <c r="E262" s="2" t="s">
        <v>385</v>
      </c>
      <c r="F262" s="2" t="s">
        <v>20</v>
      </c>
      <c r="G262" s="2" t="s">
        <v>21</v>
      </c>
      <c r="H262" s="2">
        <f>IF(C262="Dynasty Autographs",Calculator!$E$4,IF(C262="Debut Day Inscriptions",Calculator!$E$5,IFERROR(VALUE(SUBSTITUTE(F262,"/","")),0)))</f>
        <v>10</v>
      </c>
      <c r="I262" s="2">
        <f t="shared" si="28"/>
        <v>0</v>
      </c>
      <c r="J262" s="2">
        <f t="shared" si="29"/>
        <v>0</v>
      </c>
      <c r="K262" s="2">
        <f t="shared" si="30"/>
        <v>0</v>
      </c>
      <c r="L262" s="2">
        <f t="shared" si="31"/>
        <v>10</v>
      </c>
      <c r="M262" s="2">
        <f t="shared" si="32"/>
        <v>5</v>
      </c>
      <c r="N262" s="2">
        <f t="shared" si="33"/>
        <v>1</v>
      </c>
      <c r="O262" s="2">
        <f t="shared" si="34"/>
        <v>16</v>
      </c>
    </row>
    <row r="263" spans="1:15" x14ac:dyDescent="0.35">
      <c r="A263" s="2" t="s">
        <v>70</v>
      </c>
      <c r="B263" s="2" t="s">
        <v>71</v>
      </c>
      <c r="C263" s="2" t="s">
        <v>163</v>
      </c>
      <c r="D263" s="2" t="s">
        <v>332</v>
      </c>
      <c r="E263" s="2" t="s">
        <v>386</v>
      </c>
      <c r="F263" s="2" t="s">
        <v>20</v>
      </c>
      <c r="G263" s="2" t="s">
        <v>21</v>
      </c>
      <c r="H263" s="2">
        <f>IF(C263="Dynasty Autographs",Calculator!$E$4,IF(C263="Debut Day Inscriptions",Calculator!$E$5,IFERROR(VALUE(SUBSTITUTE(F263,"/","")),0)))</f>
        <v>10</v>
      </c>
      <c r="I263" s="2">
        <f t="shared" si="28"/>
        <v>0</v>
      </c>
      <c r="J263" s="2">
        <f t="shared" si="29"/>
        <v>0</v>
      </c>
      <c r="K263" s="2">
        <f t="shared" si="30"/>
        <v>0</v>
      </c>
      <c r="L263" s="2">
        <f t="shared" si="31"/>
        <v>10</v>
      </c>
      <c r="M263" s="2">
        <f t="shared" si="32"/>
        <v>5</v>
      </c>
      <c r="N263" s="2">
        <f t="shared" si="33"/>
        <v>1</v>
      </c>
      <c r="O263" s="2">
        <f t="shared" si="34"/>
        <v>16</v>
      </c>
    </row>
    <row r="264" spans="1:15" x14ac:dyDescent="0.35">
      <c r="A264" s="2" t="s">
        <v>70</v>
      </c>
      <c r="B264" s="2" t="s">
        <v>71</v>
      </c>
      <c r="C264" s="2" t="s">
        <v>163</v>
      </c>
      <c r="D264" s="2" t="s">
        <v>332</v>
      </c>
      <c r="E264" s="2" t="s">
        <v>387</v>
      </c>
      <c r="F264" s="2" t="s">
        <v>20</v>
      </c>
      <c r="G264" s="2" t="s">
        <v>21</v>
      </c>
      <c r="H264" s="2">
        <f>IF(C264="Dynasty Autographs",Calculator!$E$4,IF(C264="Debut Day Inscriptions",Calculator!$E$5,IFERROR(VALUE(SUBSTITUTE(F264,"/","")),0)))</f>
        <v>10</v>
      </c>
      <c r="I264" s="2">
        <f t="shared" si="28"/>
        <v>0</v>
      </c>
      <c r="J264" s="2">
        <f t="shared" si="29"/>
        <v>0</v>
      </c>
      <c r="K264" s="2">
        <f t="shared" si="30"/>
        <v>0</v>
      </c>
      <c r="L264" s="2">
        <f t="shared" si="31"/>
        <v>10</v>
      </c>
      <c r="M264" s="2">
        <f t="shared" si="32"/>
        <v>5</v>
      </c>
      <c r="N264" s="2">
        <f t="shared" si="33"/>
        <v>1</v>
      </c>
      <c r="O264" s="2">
        <f t="shared" si="34"/>
        <v>16</v>
      </c>
    </row>
    <row r="265" spans="1:15" x14ac:dyDescent="0.35">
      <c r="A265" s="2" t="s">
        <v>70</v>
      </c>
      <c r="B265" s="2" t="s">
        <v>71</v>
      </c>
      <c r="C265" s="2" t="s">
        <v>163</v>
      </c>
      <c r="D265" s="2" t="s">
        <v>332</v>
      </c>
      <c r="E265" s="2" t="s">
        <v>388</v>
      </c>
      <c r="F265" s="2" t="s">
        <v>20</v>
      </c>
      <c r="G265" s="2" t="s">
        <v>21</v>
      </c>
      <c r="H265" s="2">
        <f>IF(C265="Dynasty Autographs",Calculator!$E$4,IF(C265="Debut Day Inscriptions",Calculator!$E$5,IFERROR(VALUE(SUBSTITUTE(F265,"/","")),0)))</f>
        <v>10</v>
      </c>
      <c r="I265" s="2">
        <f t="shared" si="28"/>
        <v>0</v>
      </c>
      <c r="J265" s="2">
        <f t="shared" si="29"/>
        <v>0</v>
      </c>
      <c r="K265" s="2">
        <f t="shared" si="30"/>
        <v>0</v>
      </c>
      <c r="L265" s="2">
        <f t="shared" si="31"/>
        <v>10</v>
      </c>
      <c r="M265" s="2">
        <f t="shared" si="32"/>
        <v>5</v>
      </c>
      <c r="N265" s="2">
        <f t="shared" si="33"/>
        <v>1</v>
      </c>
      <c r="O265" s="2">
        <f t="shared" si="34"/>
        <v>16</v>
      </c>
    </row>
    <row r="266" spans="1:15" x14ac:dyDescent="0.35">
      <c r="A266" s="2" t="s">
        <v>389</v>
      </c>
      <c r="B266" s="2" t="s">
        <v>33</v>
      </c>
      <c r="C266" s="2" t="s">
        <v>163</v>
      </c>
      <c r="D266" s="2" t="s">
        <v>332</v>
      </c>
      <c r="E266" s="2" t="s">
        <v>390</v>
      </c>
      <c r="F266" s="2" t="s">
        <v>20</v>
      </c>
      <c r="G266" s="2" t="s">
        <v>21</v>
      </c>
      <c r="H266" s="2">
        <f>IF(C266="Dynasty Autographs",Calculator!$E$4,IF(C266="Debut Day Inscriptions",Calculator!$E$5,IFERROR(VALUE(SUBSTITUTE(F266,"/","")),0)))</f>
        <v>10</v>
      </c>
      <c r="I266" s="2">
        <f t="shared" si="28"/>
        <v>0</v>
      </c>
      <c r="J266" s="2">
        <f t="shared" si="29"/>
        <v>0</v>
      </c>
      <c r="K266" s="2">
        <f t="shared" si="30"/>
        <v>0</v>
      </c>
      <c r="L266" s="2">
        <f t="shared" si="31"/>
        <v>10</v>
      </c>
      <c r="M266" s="2">
        <f t="shared" si="32"/>
        <v>5</v>
      </c>
      <c r="N266" s="2">
        <f t="shared" si="33"/>
        <v>1</v>
      </c>
      <c r="O266" s="2">
        <f t="shared" si="34"/>
        <v>16</v>
      </c>
    </row>
    <row r="267" spans="1:15" x14ac:dyDescent="0.35">
      <c r="A267" s="2" t="s">
        <v>389</v>
      </c>
      <c r="B267" s="2" t="s">
        <v>33</v>
      </c>
      <c r="C267" s="2" t="s">
        <v>163</v>
      </c>
      <c r="D267" s="2" t="s">
        <v>332</v>
      </c>
      <c r="E267" s="2" t="s">
        <v>391</v>
      </c>
      <c r="F267" s="2" t="s">
        <v>20</v>
      </c>
      <c r="G267" s="2" t="s">
        <v>21</v>
      </c>
      <c r="H267" s="2">
        <f>IF(C267="Dynasty Autographs",Calculator!$E$4,IF(C267="Debut Day Inscriptions",Calculator!$E$5,IFERROR(VALUE(SUBSTITUTE(F267,"/","")),0)))</f>
        <v>10</v>
      </c>
      <c r="I267" s="2">
        <f t="shared" si="28"/>
        <v>0</v>
      </c>
      <c r="J267" s="2">
        <f t="shared" si="29"/>
        <v>0</v>
      </c>
      <c r="K267" s="2">
        <f t="shared" si="30"/>
        <v>0</v>
      </c>
      <c r="L267" s="2">
        <f t="shared" si="31"/>
        <v>10</v>
      </c>
      <c r="M267" s="2">
        <f t="shared" si="32"/>
        <v>5</v>
      </c>
      <c r="N267" s="2">
        <f t="shared" si="33"/>
        <v>1</v>
      </c>
      <c r="O267" s="2">
        <f t="shared" si="34"/>
        <v>16</v>
      </c>
    </row>
    <row r="268" spans="1:15" x14ac:dyDescent="0.35">
      <c r="A268" s="2" t="s">
        <v>73</v>
      </c>
      <c r="B268" s="2" t="s">
        <v>52</v>
      </c>
      <c r="C268" s="2" t="s">
        <v>163</v>
      </c>
      <c r="D268" s="2" t="s">
        <v>332</v>
      </c>
      <c r="E268" s="2" t="s">
        <v>392</v>
      </c>
      <c r="F268" s="2" t="s">
        <v>20</v>
      </c>
      <c r="G268" s="2" t="s">
        <v>21</v>
      </c>
      <c r="H268" s="2">
        <f>IF(C268="Dynasty Autographs",Calculator!$E$4,IF(C268="Debut Day Inscriptions",Calculator!$E$5,IFERROR(VALUE(SUBSTITUTE(F268,"/","")),0)))</f>
        <v>10</v>
      </c>
      <c r="I268" s="2">
        <f t="shared" si="28"/>
        <v>0</v>
      </c>
      <c r="J268" s="2">
        <f t="shared" si="29"/>
        <v>0</v>
      </c>
      <c r="K268" s="2">
        <f t="shared" si="30"/>
        <v>0</v>
      </c>
      <c r="L268" s="2">
        <f t="shared" si="31"/>
        <v>10</v>
      </c>
      <c r="M268" s="2">
        <f t="shared" si="32"/>
        <v>5</v>
      </c>
      <c r="N268" s="2">
        <f t="shared" si="33"/>
        <v>1</v>
      </c>
      <c r="O268" s="2">
        <f t="shared" si="34"/>
        <v>16</v>
      </c>
    </row>
    <row r="269" spans="1:15" x14ac:dyDescent="0.35">
      <c r="A269" s="2" t="s">
        <v>73</v>
      </c>
      <c r="B269" s="2" t="s">
        <v>52</v>
      </c>
      <c r="C269" s="2" t="s">
        <v>163</v>
      </c>
      <c r="D269" s="2" t="s">
        <v>332</v>
      </c>
      <c r="E269" s="2" t="s">
        <v>393</v>
      </c>
      <c r="F269" s="2" t="s">
        <v>20</v>
      </c>
      <c r="G269" s="2" t="s">
        <v>21</v>
      </c>
      <c r="H269" s="2">
        <f>IF(C269="Dynasty Autographs",Calculator!$E$4,IF(C269="Debut Day Inscriptions",Calculator!$E$5,IFERROR(VALUE(SUBSTITUTE(F269,"/","")),0)))</f>
        <v>10</v>
      </c>
      <c r="I269" s="2">
        <f t="shared" si="28"/>
        <v>0</v>
      </c>
      <c r="J269" s="2">
        <f t="shared" si="29"/>
        <v>0</v>
      </c>
      <c r="K269" s="2">
        <f t="shared" si="30"/>
        <v>0</v>
      </c>
      <c r="L269" s="2">
        <f t="shared" si="31"/>
        <v>10</v>
      </c>
      <c r="M269" s="2">
        <f t="shared" si="32"/>
        <v>5</v>
      </c>
      <c r="N269" s="2">
        <f t="shared" si="33"/>
        <v>1</v>
      </c>
      <c r="O269" s="2">
        <f t="shared" si="34"/>
        <v>16</v>
      </c>
    </row>
    <row r="270" spans="1:15" x14ac:dyDescent="0.35">
      <c r="A270" s="2" t="s">
        <v>73</v>
      </c>
      <c r="B270" s="2" t="s">
        <v>52</v>
      </c>
      <c r="C270" s="2" t="s">
        <v>163</v>
      </c>
      <c r="D270" s="2" t="s">
        <v>332</v>
      </c>
      <c r="E270" s="2" t="s">
        <v>394</v>
      </c>
      <c r="F270" s="2" t="s">
        <v>20</v>
      </c>
      <c r="G270" s="2" t="s">
        <v>21</v>
      </c>
      <c r="H270" s="2">
        <f>IF(C270="Dynasty Autographs",Calculator!$E$4,IF(C270="Debut Day Inscriptions",Calculator!$E$5,IFERROR(VALUE(SUBSTITUTE(F270,"/","")),0)))</f>
        <v>10</v>
      </c>
      <c r="I270" s="2">
        <f t="shared" si="28"/>
        <v>0</v>
      </c>
      <c r="J270" s="2">
        <f t="shared" si="29"/>
        <v>0</v>
      </c>
      <c r="K270" s="2">
        <f t="shared" si="30"/>
        <v>0</v>
      </c>
      <c r="L270" s="2">
        <f t="shared" si="31"/>
        <v>10</v>
      </c>
      <c r="M270" s="2">
        <f t="shared" si="32"/>
        <v>5</v>
      </c>
      <c r="N270" s="2">
        <f t="shared" si="33"/>
        <v>1</v>
      </c>
      <c r="O270" s="2">
        <f t="shared" si="34"/>
        <v>16</v>
      </c>
    </row>
    <row r="271" spans="1:15" x14ac:dyDescent="0.35">
      <c r="A271" s="2" t="s">
        <v>75</v>
      </c>
      <c r="B271" s="2" t="s">
        <v>76</v>
      </c>
      <c r="C271" s="2" t="s">
        <v>163</v>
      </c>
      <c r="D271" s="2" t="s">
        <v>332</v>
      </c>
      <c r="E271" s="2" t="s">
        <v>395</v>
      </c>
      <c r="F271" s="2" t="s">
        <v>20</v>
      </c>
      <c r="G271" s="2" t="s">
        <v>21</v>
      </c>
      <c r="H271" s="2">
        <f>IF(C271="Dynasty Autographs",Calculator!$E$4,IF(C271="Debut Day Inscriptions",Calculator!$E$5,IFERROR(VALUE(SUBSTITUTE(F271,"/","")),0)))</f>
        <v>10</v>
      </c>
      <c r="I271" s="2">
        <f t="shared" si="28"/>
        <v>0</v>
      </c>
      <c r="J271" s="2">
        <f t="shared" si="29"/>
        <v>0</v>
      </c>
      <c r="K271" s="2">
        <f t="shared" si="30"/>
        <v>0</v>
      </c>
      <c r="L271" s="2">
        <f t="shared" si="31"/>
        <v>10</v>
      </c>
      <c r="M271" s="2">
        <f t="shared" si="32"/>
        <v>5</v>
      </c>
      <c r="N271" s="2">
        <f t="shared" si="33"/>
        <v>1</v>
      </c>
      <c r="O271" s="2">
        <f t="shared" si="34"/>
        <v>16</v>
      </c>
    </row>
    <row r="272" spans="1:15" x14ac:dyDescent="0.35">
      <c r="A272" s="2" t="s">
        <v>396</v>
      </c>
      <c r="B272" s="2" t="s">
        <v>139</v>
      </c>
      <c r="C272" s="2" t="s">
        <v>163</v>
      </c>
      <c r="D272" s="2" t="s">
        <v>332</v>
      </c>
      <c r="E272" s="2" t="s">
        <v>397</v>
      </c>
      <c r="F272" s="2" t="s">
        <v>20</v>
      </c>
      <c r="G272" s="2" t="s">
        <v>21</v>
      </c>
      <c r="H272" s="2">
        <f>IF(C272="Dynasty Autographs",Calculator!$E$4,IF(C272="Debut Day Inscriptions",Calculator!$E$5,IFERROR(VALUE(SUBSTITUTE(F272,"/","")),0)))</f>
        <v>10</v>
      </c>
      <c r="I272" s="2">
        <f t="shared" si="28"/>
        <v>0</v>
      </c>
      <c r="J272" s="2">
        <f t="shared" si="29"/>
        <v>0</v>
      </c>
      <c r="K272" s="2">
        <f t="shared" si="30"/>
        <v>0</v>
      </c>
      <c r="L272" s="2">
        <f t="shared" si="31"/>
        <v>10</v>
      </c>
      <c r="M272" s="2">
        <f t="shared" si="32"/>
        <v>5</v>
      </c>
      <c r="N272" s="2">
        <f t="shared" si="33"/>
        <v>1</v>
      </c>
      <c r="O272" s="2">
        <f t="shared" si="34"/>
        <v>16</v>
      </c>
    </row>
    <row r="273" spans="1:15" x14ac:dyDescent="0.35">
      <c r="A273" s="2" t="s">
        <v>396</v>
      </c>
      <c r="B273" s="2" t="s">
        <v>139</v>
      </c>
      <c r="C273" s="2" t="s">
        <v>163</v>
      </c>
      <c r="D273" s="2" t="s">
        <v>332</v>
      </c>
      <c r="E273" s="2" t="s">
        <v>398</v>
      </c>
      <c r="F273" s="2" t="s">
        <v>20</v>
      </c>
      <c r="G273" s="2" t="s">
        <v>21</v>
      </c>
      <c r="H273" s="2">
        <f>IF(C273="Dynasty Autographs",Calculator!$E$4,IF(C273="Debut Day Inscriptions",Calculator!$E$5,IFERROR(VALUE(SUBSTITUTE(F273,"/","")),0)))</f>
        <v>10</v>
      </c>
      <c r="I273" s="2">
        <f t="shared" si="28"/>
        <v>0</v>
      </c>
      <c r="J273" s="2">
        <f t="shared" si="29"/>
        <v>0</v>
      </c>
      <c r="K273" s="2">
        <f t="shared" si="30"/>
        <v>0</v>
      </c>
      <c r="L273" s="2">
        <f t="shared" si="31"/>
        <v>10</v>
      </c>
      <c r="M273" s="2">
        <f t="shared" si="32"/>
        <v>5</v>
      </c>
      <c r="N273" s="2">
        <f t="shared" si="33"/>
        <v>1</v>
      </c>
      <c r="O273" s="2">
        <f t="shared" si="34"/>
        <v>16</v>
      </c>
    </row>
    <row r="274" spans="1:15" x14ac:dyDescent="0.35">
      <c r="A274" s="2" t="s">
        <v>396</v>
      </c>
      <c r="B274" s="2" t="s">
        <v>139</v>
      </c>
      <c r="C274" s="2" t="s">
        <v>163</v>
      </c>
      <c r="D274" s="2" t="s">
        <v>332</v>
      </c>
      <c r="E274" s="2" t="s">
        <v>399</v>
      </c>
      <c r="F274" s="2" t="s">
        <v>20</v>
      </c>
      <c r="G274" s="2" t="s">
        <v>21</v>
      </c>
      <c r="H274" s="2">
        <f>IF(C274="Dynasty Autographs",Calculator!$E$4,IF(C274="Debut Day Inscriptions",Calculator!$E$5,IFERROR(VALUE(SUBSTITUTE(F274,"/","")),0)))</f>
        <v>10</v>
      </c>
      <c r="I274" s="2">
        <f t="shared" si="28"/>
        <v>0</v>
      </c>
      <c r="J274" s="2">
        <f t="shared" si="29"/>
        <v>0</v>
      </c>
      <c r="K274" s="2">
        <f t="shared" si="30"/>
        <v>0</v>
      </c>
      <c r="L274" s="2">
        <f t="shared" si="31"/>
        <v>10</v>
      </c>
      <c r="M274" s="2">
        <f t="shared" si="32"/>
        <v>5</v>
      </c>
      <c r="N274" s="2">
        <f t="shared" si="33"/>
        <v>1</v>
      </c>
      <c r="O274" s="2">
        <f t="shared" si="34"/>
        <v>16</v>
      </c>
    </row>
    <row r="275" spans="1:15" x14ac:dyDescent="0.35">
      <c r="A275" s="2" t="s">
        <v>78</v>
      </c>
      <c r="B275" s="2" t="s">
        <v>26</v>
      </c>
      <c r="C275" s="2" t="s">
        <v>163</v>
      </c>
      <c r="D275" s="2" t="s">
        <v>332</v>
      </c>
      <c r="E275" s="2" t="s">
        <v>400</v>
      </c>
      <c r="F275" s="2" t="s">
        <v>20</v>
      </c>
      <c r="G275" s="2" t="s">
        <v>21</v>
      </c>
      <c r="H275" s="2">
        <f>IF(C275="Dynasty Autographs",Calculator!$E$4,IF(C275="Debut Day Inscriptions",Calculator!$E$5,IFERROR(VALUE(SUBSTITUTE(F275,"/","")),0)))</f>
        <v>10</v>
      </c>
      <c r="I275" s="2">
        <f t="shared" si="28"/>
        <v>0</v>
      </c>
      <c r="J275" s="2">
        <f t="shared" si="29"/>
        <v>0</v>
      </c>
      <c r="K275" s="2">
        <f t="shared" si="30"/>
        <v>0</v>
      </c>
      <c r="L275" s="2">
        <f t="shared" si="31"/>
        <v>10</v>
      </c>
      <c r="M275" s="2">
        <f t="shared" si="32"/>
        <v>5</v>
      </c>
      <c r="N275" s="2">
        <f t="shared" si="33"/>
        <v>1</v>
      </c>
      <c r="O275" s="2">
        <f t="shared" si="34"/>
        <v>16</v>
      </c>
    </row>
    <row r="276" spans="1:15" x14ac:dyDescent="0.35">
      <c r="A276" s="2" t="s">
        <v>78</v>
      </c>
      <c r="B276" s="2" t="s">
        <v>26</v>
      </c>
      <c r="C276" s="2" t="s">
        <v>163</v>
      </c>
      <c r="D276" s="2" t="s">
        <v>332</v>
      </c>
      <c r="E276" s="2" t="s">
        <v>401</v>
      </c>
      <c r="F276" s="2" t="s">
        <v>20</v>
      </c>
      <c r="G276" s="2" t="s">
        <v>21</v>
      </c>
      <c r="H276" s="2">
        <f>IF(C276="Dynasty Autographs",Calculator!$E$4,IF(C276="Debut Day Inscriptions",Calculator!$E$5,IFERROR(VALUE(SUBSTITUTE(F276,"/","")),0)))</f>
        <v>10</v>
      </c>
      <c r="I276" s="2">
        <f t="shared" si="28"/>
        <v>0</v>
      </c>
      <c r="J276" s="2">
        <f t="shared" si="29"/>
        <v>0</v>
      </c>
      <c r="K276" s="2">
        <f t="shared" si="30"/>
        <v>0</v>
      </c>
      <c r="L276" s="2">
        <f t="shared" si="31"/>
        <v>10</v>
      </c>
      <c r="M276" s="2">
        <f t="shared" si="32"/>
        <v>5</v>
      </c>
      <c r="N276" s="2">
        <f t="shared" si="33"/>
        <v>1</v>
      </c>
      <c r="O276" s="2">
        <f t="shared" si="34"/>
        <v>16</v>
      </c>
    </row>
    <row r="277" spans="1:15" x14ac:dyDescent="0.35">
      <c r="A277" s="2" t="s">
        <v>78</v>
      </c>
      <c r="B277" s="2" t="s">
        <v>26</v>
      </c>
      <c r="C277" s="2" t="s">
        <v>163</v>
      </c>
      <c r="D277" s="2" t="s">
        <v>332</v>
      </c>
      <c r="E277" s="2" t="s">
        <v>402</v>
      </c>
      <c r="F277" s="2" t="s">
        <v>20</v>
      </c>
      <c r="G277" s="2" t="s">
        <v>21</v>
      </c>
      <c r="H277" s="2">
        <f>IF(C277="Dynasty Autographs",Calculator!$E$4,IF(C277="Debut Day Inscriptions",Calculator!$E$5,IFERROR(VALUE(SUBSTITUTE(F277,"/","")),0)))</f>
        <v>10</v>
      </c>
      <c r="I277" s="2">
        <f t="shared" si="28"/>
        <v>0</v>
      </c>
      <c r="J277" s="2">
        <f t="shared" si="29"/>
        <v>0</v>
      </c>
      <c r="K277" s="2">
        <f t="shared" si="30"/>
        <v>0</v>
      </c>
      <c r="L277" s="2">
        <f t="shared" si="31"/>
        <v>10</v>
      </c>
      <c r="M277" s="2">
        <f t="shared" si="32"/>
        <v>5</v>
      </c>
      <c r="N277" s="2">
        <f t="shared" si="33"/>
        <v>1</v>
      </c>
      <c r="O277" s="2">
        <f t="shared" si="34"/>
        <v>16</v>
      </c>
    </row>
    <row r="278" spans="1:15" x14ac:dyDescent="0.35">
      <c r="A278" s="2" t="s">
        <v>78</v>
      </c>
      <c r="B278" s="2" t="s">
        <v>26</v>
      </c>
      <c r="C278" s="2" t="s">
        <v>163</v>
      </c>
      <c r="D278" s="2" t="s">
        <v>332</v>
      </c>
      <c r="E278" s="2" t="s">
        <v>403</v>
      </c>
      <c r="F278" s="2" t="s">
        <v>20</v>
      </c>
      <c r="G278" s="2" t="s">
        <v>21</v>
      </c>
      <c r="H278" s="2">
        <f>IF(C278="Dynasty Autographs",Calculator!$E$4,IF(C278="Debut Day Inscriptions",Calculator!$E$5,IFERROR(VALUE(SUBSTITUTE(F278,"/","")),0)))</f>
        <v>10</v>
      </c>
      <c r="I278" s="2">
        <f t="shared" si="28"/>
        <v>0</v>
      </c>
      <c r="J278" s="2">
        <f t="shared" si="29"/>
        <v>0</v>
      </c>
      <c r="K278" s="2">
        <f t="shared" si="30"/>
        <v>0</v>
      </c>
      <c r="L278" s="2">
        <f t="shared" si="31"/>
        <v>10</v>
      </c>
      <c r="M278" s="2">
        <f t="shared" si="32"/>
        <v>5</v>
      </c>
      <c r="N278" s="2">
        <f t="shared" si="33"/>
        <v>1</v>
      </c>
      <c r="O278" s="2">
        <f t="shared" si="34"/>
        <v>16</v>
      </c>
    </row>
    <row r="279" spans="1:15" x14ac:dyDescent="0.35">
      <c r="A279" s="2" t="s">
        <v>78</v>
      </c>
      <c r="B279" s="2" t="s">
        <v>26</v>
      </c>
      <c r="C279" s="2" t="s">
        <v>163</v>
      </c>
      <c r="D279" s="2" t="s">
        <v>332</v>
      </c>
      <c r="E279" s="2" t="s">
        <v>404</v>
      </c>
      <c r="F279" s="2" t="s">
        <v>20</v>
      </c>
      <c r="G279" s="2" t="s">
        <v>21</v>
      </c>
      <c r="H279" s="2">
        <f>IF(C279="Dynasty Autographs",Calculator!$E$4,IF(C279="Debut Day Inscriptions",Calculator!$E$5,IFERROR(VALUE(SUBSTITUTE(F279,"/","")),0)))</f>
        <v>10</v>
      </c>
      <c r="I279" s="2">
        <f t="shared" si="28"/>
        <v>0</v>
      </c>
      <c r="J279" s="2">
        <f t="shared" si="29"/>
        <v>0</v>
      </c>
      <c r="K279" s="2">
        <f t="shared" si="30"/>
        <v>0</v>
      </c>
      <c r="L279" s="2">
        <f t="shared" si="31"/>
        <v>10</v>
      </c>
      <c r="M279" s="2">
        <f t="shared" si="32"/>
        <v>5</v>
      </c>
      <c r="N279" s="2">
        <f t="shared" si="33"/>
        <v>1</v>
      </c>
      <c r="O279" s="2">
        <f t="shared" si="34"/>
        <v>16</v>
      </c>
    </row>
    <row r="280" spans="1:15" x14ac:dyDescent="0.35">
      <c r="A280" s="2" t="s">
        <v>405</v>
      </c>
      <c r="B280" s="2" t="s">
        <v>111</v>
      </c>
      <c r="C280" s="2" t="s">
        <v>163</v>
      </c>
      <c r="D280" s="2" t="s">
        <v>332</v>
      </c>
      <c r="E280" s="2" t="s">
        <v>406</v>
      </c>
      <c r="F280" s="2" t="s">
        <v>20</v>
      </c>
      <c r="G280" s="2" t="s">
        <v>21</v>
      </c>
      <c r="H280" s="2">
        <f>IF(C280="Dynasty Autographs",Calculator!$E$4,IF(C280="Debut Day Inscriptions",Calculator!$E$5,IFERROR(VALUE(SUBSTITUTE(F280,"/","")),0)))</f>
        <v>10</v>
      </c>
      <c r="I280" s="2">
        <f t="shared" si="28"/>
        <v>0</v>
      </c>
      <c r="J280" s="2">
        <f t="shared" si="29"/>
        <v>0</v>
      </c>
      <c r="K280" s="2">
        <f t="shared" si="30"/>
        <v>0</v>
      </c>
      <c r="L280" s="2">
        <f t="shared" si="31"/>
        <v>10</v>
      </c>
      <c r="M280" s="2">
        <f t="shared" si="32"/>
        <v>5</v>
      </c>
      <c r="N280" s="2">
        <f t="shared" si="33"/>
        <v>1</v>
      </c>
      <c r="O280" s="2">
        <f t="shared" si="34"/>
        <v>16</v>
      </c>
    </row>
    <row r="281" spans="1:15" x14ac:dyDescent="0.35">
      <c r="A281" s="2" t="s">
        <v>407</v>
      </c>
      <c r="B281" s="2" t="s">
        <v>139</v>
      </c>
      <c r="C281" s="2" t="s">
        <v>163</v>
      </c>
      <c r="D281" s="2" t="s">
        <v>332</v>
      </c>
      <c r="E281" s="2" t="s">
        <v>408</v>
      </c>
      <c r="F281" s="2" t="s">
        <v>20</v>
      </c>
      <c r="G281" s="2" t="s">
        <v>21</v>
      </c>
      <c r="H281" s="2">
        <f>IF(C281="Dynasty Autographs",Calculator!$E$4,IF(C281="Debut Day Inscriptions",Calculator!$E$5,IFERROR(VALUE(SUBSTITUTE(F281,"/","")),0)))</f>
        <v>10</v>
      </c>
      <c r="I281" s="2">
        <f t="shared" si="28"/>
        <v>0</v>
      </c>
      <c r="J281" s="2">
        <f t="shared" si="29"/>
        <v>0</v>
      </c>
      <c r="K281" s="2">
        <f t="shared" si="30"/>
        <v>0</v>
      </c>
      <c r="L281" s="2">
        <f t="shared" si="31"/>
        <v>10</v>
      </c>
      <c r="M281" s="2">
        <f t="shared" si="32"/>
        <v>5</v>
      </c>
      <c r="N281" s="2">
        <f t="shared" si="33"/>
        <v>1</v>
      </c>
      <c r="O281" s="2">
        <f t="shared" si="34"/>
        <v>16</v>
      </c>
    </row>
    <row r="282" spans="1:15" x14ac:dyDescent="0.35">
      <c r="A282" s="2" t="s">
        <v>407</v>
      </c>
      <c r="B282" s="2" t="s">
        <v>139</v>
      </c>
      <c r="C282" s="2" t="s">
        <v>163</v>
      </c>
      <c r="D282" s="2" t="s">
        <v>332</v>
      </c>
      <c r="E282" s="2" t="s">
        <v>409</v>
      </c>
      <c r="F282" s="2" t="s">
        <v>20</v>
      </c>
      <c r="G282" s="2" t="s">
        <v>21</v>
      </c>
      <c r="H282" s="2">
        <f>IF(C282="Dynasty Autographs",Calculator!$E$4,IF(C282="Debut Day Inscriptions",Calculator!$E$5,IFERROR(VALUE(SUBSTITUTE(F282,"/","")),0)))</f>
        <v>10</v>
      </c>
      <c r="I282" s="2">
        <f t="shared" si="28"/>
        <v>0</v>
      </c>
      <c r="J282" s="2">
        <f t="shared" si="29"/>
        <v>0</v>
      </c>
      <c r="K282" s="2">
        <f t="shared" si="30"/>
        <v>0</v>
      </c>
      <c r="L282" s="2">
        <f t="shared" si="31"/>
        <v>10</v>
      </c>
      <c r="M282" s="2">
        <f t="shared" si="32"/>
        <v>5</v>
      </c>
      <c r="N282" s="2">
        <f t="shared" si="33"/>
        <v>1</v>
      </c>
      <c r="O282" s="2">
        <f t="shared" si="34"/>
        <v>16</v>
      </c>
    </row>
    <row r="283" spans="1:15" x14ac:dyDescent="0.35">
      <c r="A283" s="2" t="s">
        <v>407</v>
      </c>
      <c r="B283" s="2" t="s">
        <v>139</v>
      </c>
      <c r="C283" s="2" t="s">
        <v>163</v>
      </c>
      <c r="D283" s="2" t="s">
        <v>332</v>
      </c>
      <c r="E283" s="2" t="s">
        <v>410</v>
      </c>
      <c r="F283" s="2" t="s">
        <v>20</v>
      </c>
      <c r="G283" s="2" t="s">
        <v>21</v>
      </c>
      <c r="H283" s="2">
        <f>IF(C283="Dynasty Autographs",Calculator!$E$4,IF(C283="Debut Day Inscriptions",Calculator!$E$5,IFERROR(VALUE(SUBSTITUTE(F283,"/","")),0)))</f>
        <v>10</v>
      </c>
      <c r="I283" s="2">
        <f t="shared" si="28"/>
        <v>0</v>
      </c>
      <c r="J283" s="2">
        <f t="shared" si="29"/>
        <v>0</v>
      </c>
      <c r="K283" s="2">
        <f t="shared" si="30"/>
        <v>0</v>
      </c>
      <c r="L283" s="2">
        <f t="shared" si="31"/>
        <v>10</v>
      </c>
      <c r="M283" s="2">
        <f t="shared" si="32"/>
        <v>5</v>
      </c>
      <c r="N283" s="2">
        <f t="shared" si="33"/>
        <v>1</v>
      </c>
      <c r="O283" s="2">
        <f t="shared" si="34"/>
        <v>16</v>
      </c>
    </row>
    <row r="284" spans="1:15" x14ac:dyDescent="0.35">
      <c r="A284" s="2" t="s">
        <v>80</v>
      </c>
      <c r="B284" s="2" t="s">
        <v>42</v>
      </c>
      <c r="C284" s="2" t="s">
        <v>163</v>
      </c>
      <c r="D284" s="2" t="s">
        <v>332</v>
      </c>
      <c r="E284" s="2" t="s">
        <v>411</v>
      </c>
      <c r="F284" s="2" t="s">
        <v>20</v>
      </c>
      <c r="G284" s="2" t="s">
        <v>21</v>
      </c>
      <c r="H284" s="2">
        <f>IF(C284="Dynasty Autographs",Calculator!$E$4,IF(C284="Debut Day Inscriptions",Calculator!$E$5,IFERROR(VALUE(SUBSTITUTE(F284,"/","")),0)))</f>
        <v>10</v>
      </c>
      <c r="I284" s="2">
        <f t="shared" si="28"/>
        <v>0</v>
      </c>
      <c r="J284" s="2">
        <f t="shared" si="29"/>
        <v>0</v>
      </c>
      <c r="K284" s="2">
        <f t="shared" si="30"/>
        <v>0</v>
      </c>
      <c r="L284" s="2">
        <f t="shared" si="31"/>
        <v>10</v>
      </c>
      <c r="M284" s="2">
        <f t="shared" si="32"/>
        <v>5</v>
      </c>
      <c r="N284" s="2">
        <f t="shared" si="33"/>
        <v>1</v>
      </c>
      <c r="O284" s="2">
        <f t="shared" si="34"/>
        <v>16</v>
      </c>
    </row>
    <row r="285" spans="1:15" x14ac:dyDescent="0.35">
      <c r="A285" s="2" t="s">
        <v>80</v>
      </c>
      <c r="B285" s="2" t="s">
        <v>42</v>
      </c>
      <c r="C285" s="2" t="s">
        <v>163</v>
      </c>
      <c r="D285" s="2" t="s">
        <v>332</v>
      </c>
      <c r="E285" s="2" t="s">
        <v>412</v>
      </c>
      <c r="F285" s="2" t="s">
        <v>20</v>
      </c>
      <c r="G285" s="2" t="s">
        <v>21</v>
      </c>
      <c r="H285" s="2">
        <f>IF(C285="Dynasty Autographs",Calculator!$E$4,IF(C285="Debut Day Inscriptions",Calculator!$E$5,IFERROR(VALUE(SUBSTITUTE(F285,"/","")),0)))</f>
        <v>10</v>
      </c>
      <c r="I285" s="2">
        <f t="shared" si="28"/>
        <v>0</v>
      </c>
      <c r="J285" s="2">
        <f t="shared" si="29"/>
        <v>0</v>
      </c>
      <c r="K285" s="2">
        <f t="shared" si="30"/>
        <v>0</v>
      </c>
      <c r="L285" s="2">
        <f t="shared" si="31"/>
        <v>10</v>
      </c>
      <c r="M285" s="2">
        <f t="shared" si="32"/>
        <v>5</v>
      </c>
      <c r="N285" s="2">
        <f t="shared" si="33"/>
        <v>1</v>
      </c>
      <c r="O285" s="2">
        <f t="shared" si="34"/>
        <v>16</v>
      </c>
    </row>
    <row r="286" spans="1:15" x14ac:dyDescent="0.35">
      <c r="A286" s="2" t="s">
        <v>80</v>
      </c>
      <c r="B286" s="2" t="s">
        <v>42</v>
      </c>
      <c r="C286" s="2" t="s">
        <v>163</v>
      </c>
      <c r="D286" s="2" t="s">
        <v>332</v>
      </c>
      <c r="E286" s="2" t="s">
        <v>413</v>
      </c>
      <c r="F286" s="2" t="s">
        <v>20</v>
      </c>
      <c r="G286" s="2" t="s">
        <v>21</v>
      </c>
      <c r="H286" s="2">
        <f>IF(C286="Dynasty Autographs",Calculator!$E$4,IF(C286="Debut Day Inscriptions",Calculator!$E$5,IFERROR(VALUE(SUBSTITUTE(F286,"/","")),0)))</f>
        <v>10</v>
      </c>
      <c r="I286" s="2">
        <f t="shared" si="28"/>
        <v>0</v>
      </c>
      <c r="J286" s="2">
        <f t="shared" si="29"/>
        <v>0</v>
      </c>
      <c r="K286" s="2">
        <f t="shared" si="30"/>
        <v>0</v>
      </c>
      <c r="L286" s="2">
        <f t="shared" si="31"/>
        <v>10</v>
      </c>
      <c r="M286" s="2">
        <f t="shared" si="32"/>
        <v>5</v>
      </c>
      <c r="N286" s="2">
        <f t="shared" si="33"/>
        <v>1</v>
      </c>
      <c r="O286" s="2">
        <f t="shared" si="34"/>
        <v>16</v>
      </c>
    </row>
    <row r="287" spans="1:15" x14ac:dyDescent="0.35">
      <c r="A287" s="2" t="s">
        <v>80</v>
      </c>
      <c r="B287" s="2" t="s">
        <v>42</v>
      </c>
      <c r="C287" s="2" t="s">
        <v>163</v>
      </c>
      <c r="D287" s="2" t="s">
        <v>332</v>
      </c>
      <c r="E287" s="2" t="s">
        <v>414</v>
      </c>
      <c r="F287" s="2" t="s">
        <v>20</v>
      </c>
      <c r="G287" s="2" t="s">
        <v>21</v>
      </c>
      <c r="H287" s="2">
        <f>IF(C287="Dynasty Autographs",Calculator!$E$4,IF(C287="Debut Day Inscriptions",Calculator!$E$5,IFERROR(VALUE(SUBSTITUTE(F287,"/","")),0)))</f>
        <v>10</v>
      </c>
      <c r="I287" s="2">
        <f t="shared" si="28"/>
        <v>0</v>
      </c>
      <c r="J287" s="2">
        <f t="shared" si="29"/>
        <v>0</v>
      </c>
      <c r="K287" s="2">
        <f t="shared" si="30"/>
        <v>0</v>
      </c>
      <c r="L287" s="2">
        <f t="shared" si="31"/>
        <v>10</v>
      </c>
      <c r="M287" s="2">
        <f t="shared" si="32"/>
        <v>5</v>
      </c>
      <c r="N287" s="2">
        <f t="shared" si="33"/>
        <v>1</v>
      </c>
      <c r="O287" s="2">
        <f t="shared" si="34"/>
        <v>16</v>
      </c>
    </row>
    <row r="288" spans="1:15" x14ac:dyDescent="0.35">
      <c r="A288" s="2" t="s">
        <v>80</v>
      </c>
      <c r="B288" s="2" t="s">
        <v>42</v>
      </c>
      <c r="C288" s="2" t="s">
        <v>163</v>
      </c>
      <c r="D288" s="2" t="s">
        <v>332</v>
      </c>
      <c r="E288" s="2" t="s">
        <v>415</v>
      </c>
      <c r="F288" s="2" t="s">
        <v>20</v>
      </c>
      <c r="G288" s="2" t="s">
        <v>21</v>
      </c>
      <c r="H288" s="2">
        <f>IF(C288="Dynasty Autographs",Calculator!$E$4,IF(C288="Debut Day Inscriptions",Calculator!$E$5,IFERROR(VALUE(SUBSTITUTE(F288,"/","")),0)))</f>
        <v>10</v>
      </c>
      <c r="I288" s="2">
        <f t="shared" si="28"/>
        <v>0</v>
      </c>
      <c r="J288" s="2">
        <f t="shared" si="29"/>
        <v>0</v>
      </c>
      <c r="K288" s="2">
        <f t="shared" si="30"/>
        <v>0</v>
      </c>
      <c r="L288" s="2">
        <f t="shared" si="31"/>
        <v>10</v>
      </c>
      <c r="M288" s="2">
        <f t="shared" si="32"/>
        <v>5</v>
      </c>
      <c r="N288" s="2">
        <f t="shared" si="33"/>
        <v>1</v>
      </c>
      <c r="O288" s="2">
        <f t="shared" si="34"/>
        <v>16</v>
      </c>
    </row>
    <row r="289" spans="1:15" x14ac:dyDescent="0.35">
      <c r="A289" s="2" t="s">
        <v>80</v>
      </c>
      <c r="B289" s="2" t="s">
        <v>42</v>
      </c>
      <c r="C289" s="2" t="s">
        <v>163</v>
      </c>
      <c r="D289" s="2" t="s">
        <v>332</v>
      </c>
      <c r="E289" s="2" t="s">
        <v>416</v>
      </c>
      <c r="F289" s="2" t="s">
        <v>20</v>
      </c>
      <c r="G289" s="2" t="s">
        <v>21</v>
      </c>
      <c r="H289" s="2">
        <f>IF(C289="Dynasty Autographs",Calculator!$E$4,IF(C289="Debut Day Inscriptions",Calculator!$E$5,IFERROR(VALUE(SUBSTITUTE(F289,"/","")),0)))</f>
        <v>10</v>
      </c>
      <c r="I289" s="2">
        <f t="shared" si="28"/>
        <v>0</v>
      </c>
      <c r="J289" s="2">
        <f t="shared" si="29"/>
        <v>0</v>
      </c>
      <c r="K289" s="2">
        <f t="shared" si="30"/>
        <v>0</v>
      </c>
      <c r="L289" s="2">
        <f t="shared" si="31"/>
        <v>10</v>
      </c>
      <c r="M289" s="2">
        <f t="shared" si="32"/>
        <v>5</v>
      </c>
      <c r="N289" s="2">
        <f t="shared" si="33"/>
        <v>1</v>
      </c>
      <c r="O289" s="2">
        <f t="shared" si="34"/>
        <v>16</v>
      </c>
    </row>
    <row r="290" spans="1:15" x14ac:dyDescent="0.35">
      <c r="A290" s="2" t="s">
        <v>417</v>
      </c>
      <c r="B290" s="2" t="s">
        <v>71</v>
      </c>
      <c r="C290" s="2" t="s">
        <v>163</v>
      </c>
      <c r="D290" s="2" t="s">
        <v>332</v>
      </c>
      <c r="E290" s="2" t="s">
        <v>418</v>
      </c>
      <c r="F290" s="2" t="s">
        <v>20</v>
      </c>
      <c r="G290" s="2" t="s">
        <v>21</v>
      </c>
      <c r="H290" s="2">
        <f>IF(C290="Dynasty Autographs",Calculator!$E$4,IF(C290="Debut Day Inscriptions",Calculator!$E$5,IFERROR(VALUE(SUBSTITUTE(F290,"/","")),0)))</f>
        <v>10</v>
      </c>
      <c r="I290" s="2">
        <f t="shared" si="28"/>
        <v>0</v>
      </c>
      <c r="J290" s="2">
        <f t="shared" si="29"/>
        <v>0</v>
      </c>
      <c r="K290" s="2">
        <f t="shared" si="30"/>
        <v>0</v>
      </c>
      <c r="L290" s="2">
        <f t="shared" si="31"/>
        <v>10</v>
      </c>
      <c r="M290" s="2">
        <f t="shared" si="32"/>
        <v>5</v>
      </c>
      <c r="N290" s="2">
        <f t="shared" si="33"/>
        <v>1</v>
      </c>
      <c r="O290" s="2">
        <f t="shared" si="34"/>
        <v>16</v>
      </c>
    </row>
    <row r="291" spans="1:15" x14ac:dyDescent="0.35">
      <c r="A291" s="2" t="s">
        <v>417</v>
      </c>
      <c r="B291" s="2" t="s">
        <v>71</v>
      </c>
      <c r="C291" s="2" t="s">
        <v>163</v>
      </c>
      <c r="D291" s="2" t="s">
        <v>332</v>
      </c>
      <c r="E291" s="2" t="s">
        <v>419</v>
      </c>
      <c r="F291" s="2" t="s">
        <v>20</v>
      </c>
      <c r="G291" s="2" t="s">
        <v>21</v>
      </c>
      <c r="H291" s="2">
        <f>IF(C291="Dynasty Autographs",Calculator!$E$4,IF(C291="Debut Day Inscriptions",Calculator!$E$5,IFERROR(VALUE(SUBSTITUTE(F291,"/","")),0)))</f>
        <v>10</v>
      </c>
      <c r="I291" s="2">
        <f t="shared" si="28"/>
        <v>0</v>
      </c>
      <c r="J291" s="2">
        <f t="shared" si="29"/>
        <v>0</v>
      </c>
      <c r="K291" s="2">
        <f t="shared" si="30"/>
        <v>0</v>
      </c>
      <c r="L291" s="2">
        <f t="shared" si="31"/>
        <v>10</v>
      </c>
      <c r="M291" s="2">
        <f t="shared" si="32"/>
        <v>5</v>
      </c>
      <c r="N291" s="2">
        <f t="shared" si="33"/>
        <v>1</v>
      </c>
      <c r="O291" s="2">
        <f t="shared" si="34"/>
        <v>16</v>
      </c>
    </row>
    <row r="292" spans="1:15" x14ac:dyDescent="0.35">
      <c r="A292" s="2" t="s">
        <v>417</v>
      </c>
      <c r="B292" s="2" t="s">
        <v>71</v>
      </c>
      <c r="C292" s="2" t="s">
        <v>163</v>
      </c>
      <c r="D292" s="2" t="s">
        <v>332</v>
      </c>
      <c r="E292" s="2" t="s">
        <v>420</v>
      </c>
      <c r="F292" s="2" t="s">
        <v>20</v>
      </c>
      <c r="G292" s="2" t="s">
        <v>21</v>
      </c>
      <c r="H292" s="2">
        <f>IF(C292="Dynasty Autographs",Calculator!$E$4,IF(C292="Debut Day Inscriptions",Calculator!$E$5,IFERROR(VALUE(SUBSTITUTE(F292,"/","")),0)))</f>
        <v>10</v>
      </c>
      <c r="I292" s="2">
        <f t="shared" si="28"/>
        <v>0</v>
      </c>
      <c r="J292" s="2">
        <f t="shared" si="29"/>
        <v>0</v>
      </c>
      <c r="K292" s="2">
        <f t="shared" si="30"/>
        <v>0</v>
      </c>
      <c r="L292" s="2">
        <f t="shared" si="31"/>
        <v>10</v>
      </c>
      <c r="M292" s="2">
        <f t="shared" si="32"/>
        <v>5</v>
      </c>
      <c r="N292" s="2">
        <f t="shared" si="33"/>
        <v>1</v>
      </c>
      <c r="O292" s="2">
        <f t="shared" si="34"/>
        <v>16</v>
      </c>
    </row>
    <row r="293" spans="1:15" x14ac:dyDescent="0.35">
      <c r="A293" s="2" t="s">
        <v>421</v>
      </c>
      <c r="B293" s="2" t="s">
        <v>136</v>
      </c>
      <c r="C293" s="2" t="s">
        <v>163</v>
      </c>
      <c r="D293" s="2" t="s">
        <v>332</v>
      </c>
      <c r="E293" s="2" t="s">
        <v>422</v>
      </c>
      <c r="F293" s="2" t="s">
        <v>20</v>
      </c>
      <c r="G293" s="2" t="s">
        <v>21</v>
      </c>
      <c r="H293" s="2">
        <f>IF(C293="Dynasty Autographs",Calculator!$E$4,IF(C293="Debut Day Inscriptions",Calculator!$E$5,IFERROR(VALUE(SUBSTITUTE(F293,"/","")),0)))</f>
        <v>10</v>
      </c>
      <c r="I293" s="2">
        <f t="shared" si="28"/>
        <v>0</v>
      </c>
      <c r="J293" s="2">
        <f t="shared" si="29"/>
        <v>0</v>
      </c>
      <c r="K293" s="2">
        <f t="shared" si="30"/>
        <v>0</v>
      </c>
      <c r="L293" s="2">
        <f t="shared" si="31"/>
        <v>10</v>
      </c>
      <c r="M293" s="2">
        <f t="shared" si="32"/>
        <v>5</v>
      </c>
      <c r="N293" s="2">
        <f t="shared" si="33"/>
        <v>1</v>
      </c>
      <c r="O293" s="2">
        <f t="shared" si="34"/>
        <v>16</v>
      </c>
    </row>
    <row r="294" spans="1:15" x14ac:dyDescent="0.35">
      <c r="A294" s="2" t="s">
        <v>421</v>
      </c>
      <c r="B294" s="2" t="s">
        <v>136</v>
      </c>
      <c r="C294" s="2" t="s">
        <v>163</v>
      </c>
      <c r="D294" s="2" t="s">
        <v>332</v>
      </c>
      <c r="E294" s="2" t="s">
        <v>423</v>
      </c>
      <c r="F294" s="2" t="s">
        <v>20</v>
      </c>
      <c r="G294" s="2" t="s">
        <v>21</v>
      </c>
      <c r="H294" s="2">
        <f>IF(C294="Dynasty Autographs",Calculator!$E$4,IF(C294="Debut Day Inscriptions",Calculator!$E$5,IFERROR(VALUE(SUBSTITUTE(F294,"/","")),0)))</f>
        <v>10</v>
      </c>
      <c r="I294" s="2">
        <f t="shared" si="28"/>
        <v>0</v>
      </c>
      <c r="J294" s="2">
        <f t="shared" si="29"/>
        <v>0</v>
      </c>
      <c r="K294" s="2">
        <f t="shared" si="30"/>
        <v>0</v>
      </c>
      <c r="L294" s="2">
        <f t="shared" si="31"/>
        <v>10</v>
      </c>
      <c r="M294" s="2">
        <f t="shared" si="32"/>
        <v>5</v>
      </c>
      <c r="N294" s="2">
        <f t="shared" si="33"/>
        <v>1</v>
      </c>
      <c r="O294" s="2">
        <f t="shared" si="34"/>
        <v>16</v>
      </c>
    </row>
    <row r="295" spans="1:15" x14ac:dyDescent="0.35">
      <c r="A295" s="2" t="s">
        <v>421</v>
      </c>
      <c r="B295" s="2" t="s">
        <v>136</v>
      </c>
      <c r="C295" s="2" t="s">
        <v>163</v>
      </c>
      <c r="D295" s="2" t="s">
        <v>332</v>
      </c>
      <c r="E295" s="2" t="s">
        <v>424</v>
      </c>
      <c r="F295" s="2" t="s">
        <v>20</v>
      </c>
      <c r="G295" s="2" t="s">
        <v>21</v>
      </c>
      <c r="H295" s="2">
        <f>IF(C295="Dynasty Autographs",Calculator!$E$4,IF(C295="Debut Day Inscriptions",Calculator!$E$5,IFERROR(VALUE(SUBSTITUTE(F295,"/","")),0)))</f>
        <v>10</v>
      </c>
      <c r="I295" s="2">
        <f t="shared" si="28"/>
        <v>0</v>
      </c>
      <c r="J295" s="2">
        <f t="shared" si="29"/>
        <v>0</v>
      </c>
      <c r="K295" s="2">
        <f t="shared" si="30"/>
        <v>0</v>
      </c>
      <c r="L295" s="2">
        <f t="shared" si="31"/>
        <v>10</v>
      </c>
      <c r="M295" s="2">
        <f t="shared" si="32"/>
        <v>5</v>
      </c>
      <c r="N295" s="2">
        <f t="shared" si="33"/>
        <v>1</v>
      </c>
      <c r="O295" s="2">
        <f t="shared" si="34"/>
        <v>16</v>
      </c>
    </row>
    <row r="296" spans="1:15" x14ac:dyDescent="0.35">
      <c r="A296" s="2" t="s">
        <v>421</v>
      </c>
      <c r="B296" s="2" t="s">
        <v>136</v>
      </c>
      <c r="C296" s="2" t="s">
        <v>163</v>
      </c>
      <c r="D296" s="2" t="s">
        <v>332</v>
      </c>
      <c r="E296" s="2" t="s">
        <v>425</v>
      </c>
      <c r="F296" s="2" t="s">
        <v>20</v>
      </c>
      <c r="G296" s="2" t="s">
        <v>21</v>
      </c>
      <c r="H296" s="2">
        <f>IF(C296="Dynasty Autographs",Calculator!$E$4,IF(C296="Debut Day Inscriptions",Calculator!$E$5,IFERROR(VALUE(SUBSTITUTE(F296,"/","")),0)))</f>
        <v>10</v>
      </c>
      <c r="I296" s="2">
        <f t="shared" si="28"/>
        <v>0</v>
      </c>
      <c r="J296" s="2">
        <f t="shared" si="29"/>
        <v>0</v>
      </c>
      <c r="K296" s="2">
        <f t="shared" si="30"/>
        <v>0</v>
      </c>
      <c r="L296" s="2">
        <f t="shared" si="31"/>
        <v>10</v>
      </c>
      <c r="M296" s="2">
        <f t="shared" si="32"/>
        <v>5</v>
      </c>
      <c r="N296" s="2">
        <f t="shared" si="33"/>
        <v>1</v>
      </c>
      <c r="O296" s="2">
        <f t="shared" si="34"/>
        <v>16</v>
      </c>
    </row>
    <row r="297" spans="1:15" x14ac:dyDescent="0.35">
      <c r="A297" s="2" t="s">
        <v>421</v>
      </c>
      <c r="B297" s="2" t="s">
        <v>136</v>
      </c>
      <c r="C297" s="2" t="s">
        <v>163</v>
      </c>
      <c r="D297" s="2" t="s">
        <v>332</v>
      </c>
      <c r="E297" s="2" t="s">
        <v>426</v>
      </c>
      <c r="F297" s="2" t="s">
        <v>20</v>
      </c>
      <c r="G297" s="2" t="s">
        <v>21</v>
      </c>
      <c r="H297" s="2">
        <f>IF(C297="Dynasty Autographs",Calculator!$E$4,IF(C297="Debut Day Inscriptions",Calculator!$E$5,IFERROR(VALUE(SUBSTITUTE(F297,"/","")),0)))</f>
        <v>10</v>
      </c>
      <c r="I297" s="2">
        <f t="shared" si="28"/>
        <v>0</v>
      </c>
      <c r="J297" s="2">
        <f t="shared" si="29"/>
        <v>0</v>
      </c>
      <c r="K297" s="2">
        <f t="shared" si="30"/>
        <v>0</v>
      </c>
      <c r="L297" s="2">
        <f t="shared" si="31"/>
        <v>10</v>
      </c>
      <c r="M297" s="2">
        <f t="shared" si="32"/>
        <v>5</v>
      </c>
      <c r="N297" s="2">
        <f t="shared" si="33"/>
        <v>1</v>
      </c>
      <c r="O297" s="2">
        <f t="shared" si="34"/>
        <v>16</v>
      </c>
    </row>
    <row r="298" spans="1:15" x14ac:dyDescent="0.35">
      <c r="A298" s="2" t="s">
        <v>421</v>
      </c>
      <c r="B298" s="2" t="s">
        <v>136</v>
      </c>
      <c r="C298" s="2" t="s">
        <v>163</v>
      </c>
      <c r="D298" s="2" t="s">
        <v>332</v>
      </c>
      <c r="E298" s="2" t="s">
        <v>427</v>
      </c>
      <c r="F298" s="2" t="s">
        <v>20</v>
      </c>
      <c r="G298" s="2" t="s">
        <v>21</v>
      </c>
      <c r="H298" s="2">
        <f>IF(C298="Dynasty Autographs",Calculator!$E$4,IF(C298="Debut Day Inscriptions",Calculator!$E$5,IFERROR(VALUE(SUBSTITUTE(F298,"/","")),0)))</f>
        <v>10</v>
      </c>
      <c r="I298" s="2">
        <f t="shared" si="28"/>
        <v>0</v>
      </c>
      <c r="J298" s="2">
        <f t="shared" si="29"/>
        <v>0</v>
      </c>
      <c r="K298" s="2">
        <f t="shared" si="30"/>
        <v>0</v>
      </c>
      <c r="L298" s="2">
        <f t="shared" si="31"/>
        <v>10</v>
      </c>
      <c r="M298" s="2">
        <f t="shared" si="32"/>
        <v>5</v>
      </c>
      <c r="N298" s="2">
        <f t="shared" si="33"/>
        <v>1</v>
      </c>
      <c r="O298" s="2">
        <f t="shared" si="34"/>
        <v>16</v>
      </c>
    </row>
    <row r="299" spans="1:15" x14ac:dyDescent="0.35">
      <c r="A299" s="2" t="s">
        <v>421</v>
      </c>
      <c r="B299" s="2" t="s">
        <v>136</v>
      </c>
      <c r="C299" s="2" t="s">
        <v>163</v>
      </c>
      <c r="D299" s="2" t="s">
        <v>332</v>
      </c>
      <c r="E299" s="2" t="s">
        <v>428</v>
      </c>
      <c r="F299" s="2" t="s">
        <v>20</v>
      </c>
      <c r="G299" s="2" t="s">
        <v>21</v>
      </c>
      <c r="H299" s="2">
        <f>IF(C299="Dynasty Autographs",Calculator!$E$4,IF(C299="Debut Day Inscriptions",Calculator!$E$5,IFERROR(VALUE(SUBSTITUTE(F299,"/","")),0)))</f>
        <v>10</v>
      </c>
      <c r="I299" s="2">
        <f t="shared" si="28"/>
        <v>0</v>
      </c>
      <c r="J299" s="2">
        <f t="shared" si="29"/>
        <v>0</v>
      </c>
      <c r="K299" s="2">
        <f t="shared" si="30"/>
        <v>0</v>
      </c>
      <c r="L299" s="2">
        <f t="shared" si="31"/>
        <v>10</v>
      </c>
      <c r="M299" s="2">
        <f t="shared" si="32"/>
        <v>5</v>
      </c>
      <c r="N299" s="2">
        <f t="shared" si="33"/>
        <v>1</v>
      </c>
      <c r="O299" s="2">
        <f t="shared" si="34"/>
        <v>16</v>
      </c>
    </row>
    <row r="300" spans="1:15" x14ac:dyDescent="0.35">
      <c r="A300" s="2" t="s">
        <v>421</v>
      </c>
      <c r="B300" s="2" t="s">
        <v>136</v>
      </c>
      <c r="C300" s="2" t="s">
        <v>163</v>
      </c>
      <c r="D300" s="2" t="s">
        <v>332</v>
      </c>
      <c r="E300" s="2" t="s">
        <v>429</v>
      </c>
      <c r="F300" s="2" t="s">
        <v>20</v>
      </c>
      <c r="G300" s="2" t="s">
        <v>21</v>
      </c>
      <c r="H300" s="2">
        <f>IF(C300="Dynasty Autographs",Calculator!$E$4,IF(C300="Debut Day Inscriptions",Calculator!$E$5,IFERROR(VALUE(SUBSTITUTE(F300,"/","")),0)))</f>
        <v>10</v>
      </c>
      <c r="I300" s="2">
        <f t="shared" si="28"/>
        <v>0</v>
      </c>
      <c r="J300" s="2">
        <f t="shared" si="29"/>
        <v>0</v>
      </c>
      <c r="K300" s="2">
        <f t="shared" si="30"/>
        <v>0</v>
      </c>
      <c r="L300" s="2">
        <f t="shared" si="31"/>
        <v>10</v>
      </c>
      <c r="M300" s="2">
        <f t="shared" si="32"/>
        <v>5</v>
      </c>
      <c r="N300" s="2">
        <f t="shared" si="33"/>
        <v>1</v>
      </c>
      <c r="O300" s="2">
        <f t="shared" si="34"/>
        <v>16</v>
      </c>
    </row>
    <row r="301" spans="1:15" x14ac:dyDescent="0.35">
      <c r="A301" s="2" t="s">
        <v>430</v>
      </c>
      <c r="B301" s="2" t="s">
        <v>42</v>
      </c>
      <c r="C301" s="2" t="s">
        <v>163</v>
      </c>
      <c r="D301" s="2" t="s">
        <v>332</v>
      </c>
      <c r="E301" s="2" t="s">
        <v>431</v>
      </c>
      <c r="F301" s="2" t="s">
        <v>20</v>
      </c>
      <c r="G301" s="2" t="s">
        <v>21</v>
      </c>
      <c r="H301" s="2">
        <f>IF(C301="Dynasty Autographs",Calculator!$E$4,IF(C301="Debut Day Inscriptions",Calculator!$E$5,IFERROR(VALUE(SUBSTITUTE(F301,"/","")),0)))</f>
        <v>10</v>
      </c>
      <c r="I301" s="2">
        <f t="shared" si="28"/>
        <v>0</v>
      </c>
      <c r="J301" s="2">
        <f t="shared" si="29"/>
        <v>0</v>
      </c>
      <c r="K301" s="2">
        <f t="shared" si="30"/>
        <v>0</v>
      </c>
      <c r="L301" s="2">
        <f t="shared" si="31"/>
        <v>10</v>
      </c>
      <c r="M301" s="2">
        <f t="shared" si="32"/>
        <v>5</v>
      </c>
      <c r="N301" s="2">
        <f t="shared" si="33"/>
        <v>1</v>
      </c>
      <c r="O301" s="2">
        <f t="shared" si="34"/>
        <v>16</v>
      </c>
    </row>
    <row r="302" spans="1:15" x14ac:dyDescent="0.35">
      <c r="A302" s="2" t="s">
        <v>430</v>
      </c>
      <c r="B302" s="2" t="s">
        <v>42</v>
      </c>
      <c r="C302" s="2" t="s">
        <v>163</v>
      </c>
      <c r="D302" s="2" t="s">
        <v>332</v>
      </c>
      <c r="E302" s="2" t="s">
        <v>432</v>
      </c>
      <c r="F302" s="2" t="s">
        <v>20</v>
      </c>
      <c r="G302" s="2" t="s">
        <v>21</v>
      </c>
      <c r="H302" s="2">
        <f>IF(C302="Dynasty Autographs",Calculator!$E$4,IF(C302="Debut Day Inscriptions",Calculator!$E$5,IFERROR(VALUE(SUBSTITUTE(F302,"/","")),0)))</f>
        <v>10</v>
      </c>
      <c r="I302" s="2">
        <f t="shared" si="28"/>
        <v>0</v>
      </c>
      <c r="J302" s="2">
        <f t="shared" si="29"/>
        <v>0</v>
      </c>
      <c r="K302" s="2">
        <f t="shared" si="30"/>
        <v>0</v>
      </c>
      <c r="L302" s="2">
        <f t="shared" si="31"/>
        <v>10</v>
      </c>
      <c r="M302" s="2">
        <f t="shared" si="32"/>
        <v>5</v>
      </c>
      <c r="N302" s="2">
        <f t="shared" si="33"/>
        <v>1</v>
      </c>
      <c r="O302" s="2">
        <f t="shared" si="34"/>
        <v>16</v>
      </c>
    </row>
    <row r="303" spans="1:15" x14ac:dyDescent="0.35">
      <c r="A303" s="2" t="s">
        <v>430</v>
      </c>
      <c r="B303" s="2" t="s">
        <v>42</v>
      </c>
      <c r="C303" s="2" t="s">
        <v>163</v>
      </c>
      <c r="D303" s="2" t="s">
        <v>332</v>
      </c>
      <c r="E303" s="2" t="s">
        <v>433</v>
      </c>
      <c r="F303" s="2" t="s">
        <v>20</v>
      </c>
      <c r="G303" s="2" t="s">
        <v>21</v>
      </c>
      <c r="H303" s="2">
        <f>IF(C303="Dynasty Autographs",Calculator!$E$4,IF(C303="Debut Day Inscriptions",Calculator!$E$5,IFERROR(VALUE(SUBSTITUTE(F303,"/","")),0)))</f>
        <v>10</v>
      </c>
      <c r="I303" s="2">
        <f t="shared" si="28"/>
        <v>0</v>
      </c>
      <c r="J303" s="2">
        <f t="shared" si="29"/>
        <v>0</v>
      </c>
      <c r="K303" s="2">
        <f t="shared" si="30"/>
        <v>0</v>
      </c>
      <c r="L303" s="2">
        <f t="shared" si="31"/>
        <v>10</v>
      </c>
      <c r="M303" s="2">
        <f t="shared" si="32"/>
        <v>5</v>
      </c>
      <c r="N303" s="2">
        <f t="shared" si="33"/>
        <v>1</v>
      </c>
      <c r="O303" s="2">
        <f t="shared" si="34"/>
        <v>16</v>
      </c>
    </row>
    <row r="304" spans="1:15" x14ac:dyDescent="0.35">
      <c r="A304" s="2" t="s">
        <v>430</v>
      </c>
      <c r="B304" s="2" t="s">
        <v>42</v>
      </c>
      <c r="C304" s="2" t="s">
        <v>163</v>
      </c>
      <c r="D304" s="2" t="s">
        <v>332</v>
      </c>
      <c r="E304" s="2" t="s">
        <v>434</v>
      </c>
      <c r="F304" s="2" t="s">
        <v>20</v>
      </c>
      <c r="G304" s="2" t="s">
        <v>21</v>
      </c>
      <c r="H304" s="2">
        <f>IF(C304="Dynasty Autographs",Calculator!$E$4,IF(C304="Debut Day Inscriptions",Calculator!$E$5,IFERROR(VALUE(SUBSTITUTE(F304,"/","")),0)))</f>
        <v>10</v>
      </c>
      <c r="I304" s="2">
        <f t="shared" si="28"/>
        <v>0</v>
      </c>
      <c r="J304" s="2">
        <f t="shared" si="29"/>
        <v>0</v>
      </c>
      <c r="K304" s="2">
        <f t="shared" si="30"/>
        <v>0</v>
      </c>
      <c r="L304" s="2">
        <f t="shared" si="31"/>
        <v>10</v>
      </c>
      <c r="M304" s="2">
        <f t="shared" si="32"/>
        <v>5</v>
      </c>
      <c r="N304" s="2">
        <f t="shared" si="33"/>
        <v>1</v>
      </c>
      <c r="O304" s="2">
        <f t="shared" si="34"/>
        <v>16</v>
      </c>
    </row>
    <row r="305" spans="1:15" x14ac:dyDescent="0.35">
      <c r="A305" s="2" t="s">
        <v>430</v>
      </c>
      <c r="B305" s="2" t="s">
        <v>42</v>
      </c>
      <c r="C305" s="2" t="s">
        <v>163</v>
      </c>
      <c r="D305" s="2" t="s">
        <v>332</v>
      </c>
      <c r="E305" s="2" t="s">
        <v>435</v>
      </c>
      <c r="F305" s="2" t="s">
        <v>20</v>
      </c>
      <c r="G305" s="2" t="s">
        <v>21</v>
      </c>
      <c r="H305" s="2">
        <f>IF(C305="Dynasty Autographs",Calculator!$E$4,IF(C305="Debut Day Inscriptions",Calculator!$E$5,IFERROR(VALUE(SUBSTITUTE(F305,"/","")),0)))</f>
        <v>10</v>
      </c>
      <c r="I305" s="2">
        <f t="shared" si="28"/>
        <v>0</v>
      </c>
      <c r="J305" s="2">
        <f t="shared" si="29"/>
        <v>0</v>
      </c>
      <c r="K305" s="2">
        <f t="shared" si="30"/>
        <v>0</v>
      </c>
      <c r="L305" s="2">
        <f t="shared" si="31"/>
        <v>10</v>
      </c>
      <c r="M305" s="2">
        <f t="shared" si="32"/>
        <v>5</v>
      </c>
      <c r="N305" s="2">
        <f t="shared" si="33"/>
        <v>1</v>
      </c>
      <c r="O305" s="2">
        <f t="shared" si="34"/>
        <v>16</v>
      </c>
    </row>
    <row r="306" spans="1:15" x14ac:dyDescent="0.35">
      <c r="A306" s="2" t="s">
        <v>430</v>
      </c>
      <c r="B306" s="2" t="s">
        <v>42</v>
      </c>
      <c r="C306" s="2" t="s">
        <v>163</v>
      </c>
      <c r="D306" s="2" t="s">
        <v>332</v>
      </c>
      <c r="E306" s="2" t="s">
        <v>436</v>
      </c>
      <c r="F306" s="2" t="s">
        <v>20</v>
      </c>
      <c r="G306" s="2" t="s">
        <v>21</v>
      </c>
      <c r="H306" s="2">
        <f>IF(C306="Dynasty Autographs",Calculator!$E$4,IF(C306="Debut Day Inscriptions",Calculator!$E$5,IFERROR(VALUE(SUBSTITUTE(F306,"/","")),0)))</f>
        <v>10</v>
      </c>
      <c r="I306" s="2">
        <f t="shared" si="28"/>
        <v>0</v>
      </c>
      <c r="J306" s="2">
        <f t="shared" si="29"/>
        <v>0</v>
      </c>
      <c r="K306" s="2">
        <f t="shared" si="30"/>
        <v>0</v>
      </c>
      <c r="L306" s="2">
        <f t="shared" si="31"/>
        <v>10</v>
      </c>
      <c r="M306" s="2">
        <f t="shared" si="32"/>
        <v>5</v>
      </c>
      <c r="N306" s="2">
        <f t="shared" si="33"/>
        <v>1</v>
      </c>
      <c r="O306" s="2">
        <f t="shared" si="34"/>
        <v>16</v>
      </c>
    </row>
    <row r="307" spans="1:15" x14ac:dyDescent="0.35">
      <c r="A307" s="2" t="s">
        <v>84</v>
      </c>
      <c r="B307" s="2" t="s">
        <v>63</v>
      </c>
      <c r="C307" s="2" t="s">
        <v>163</v>
      </c>
      <c r="D307" s="2" t="s">
        <v>332</v>
      </c>
      <c r="E307" s="2" t="s">
        <v>437</v>
      </c>
      <c r="F307" s="2" t="s">
        <v>20</v>
      </c>
      <c r="G307" s="2" t="s">
        <v>21</v>
      </c>
      <c r="H307" s="2">
        <f>IF(C307="Dynasty Autographs",Calculator!$E$4,IF(C307="Debut Day Inscriptions",Calculator!$E$5,IFERROR(VALUE(SUBSTITUTE(F307,"/","")),0)))</f>
        <v>10</v>
      </c>
      <c r="I307" s="2">
        <f t="shared" si="28"/>
        <v>0</v>
      </c>
      <c r="J307" s="2">
        <f t="shared" si="29"/>
        <v>0</v>
      </c>
      <c r="K307" s="2">
        <f t="shared" si="30"/>
        <v>0</v>
      </c>
      <c r="L307" s="2">
        <f t="shared" si="31"/>
        <v>10</v>
      </c>
      <c r="M307" s="2">
        <f t="shared" si="32"/>
        <v>5</v>
      </c>
      <c r="N307" s="2">
        <f t="shared" si="33"/>
        <v>1</v>
      </c>
      <c r="O307" s="2">
        <f t="shared" si="34"/>
        <v>16</v>
      </c>
    </row>
    <row r="308" spans="1:15" x14ac:dyDescent="0.35">
      <c r="A308" s="2" t="s">
        <v>84</v>
      </c>
      <c r="B308" s="2" t="s">
        <v>63</v>
      </c>
      <c r="C308" s="2" t="s">
        <v>163</v>
      </c>
      <c r="D308" s="2" t="s">
        <v>332</v>
      </c>
      <c r="E308" s="2" t="s">
        <v>438</v>
      </c>
      <c r="F308" s="2" t="s">
        <v>20</v>
      </c>
      <c r="G308" s="2" t="s">
        <v>21</v>
      </c>
      <c r="H308" s="2">
        <f>IF(C308="Dynasty Autographs",Calculator!$E$4,IF(C308="Debut Day Inscriptions",Calculator!$E$5,IFERROR(VALUE(SUBSTITUTE(F308,"/","")),0)))</f>
        <v>10</v>
      </c>
      <c r="I308" s="2">
        <f t="shared" si="28"/>
        <v>0</v>
      </c>
      <c r="J308" s="2">
        <f t="shared" si="29"/>
        <v>0</v>
      </c>
      <c r="K308" s="2">
        <f t="shared" si="30"/>
        <v>0</v>
      </c>
      <c r="L308" s="2">
        <f t="shared" si="31"/>
        <v>10</v>
      </c>
      <c r="M308" s="2">
        <f t="shared" si="32"/>
        <v>5</v>
      </c>
      <c r="N308" s="2">
        <f t="shared" si="33"/>
        <v>1</v>
      </c>
      <c r="O308" s="2">
        <f t="shared" si="34"/>
        <v>16</v>
      </c>
    </row>
    <row r="309" spans="1:15" x14ac:dyDescent="0.35">
      <c r="A309" s="2" t="s">
        <v>84</v>
      </c>
      <c r="B309" s="2" t="s">
        <v>63</v>
      </c>
      <c r="C309" s="2" t="s">
        <v>163</v>
      </c>
      <c r="D309" s="2" t="s">
        <v>332</v>
      </c>
      <c r="E309" s="2" t="s">
        <v>439</v>
      </c>
      <c r="F309" s="2" t="s">
        <v>20</v>
      </c>
      <c r="G309" s="2" t="s">
        <v>21</v>
      </c>
      <c r="H309" s="2">
        <f>IF(C309="Dynasty Autographs",Calculator!$E$4,IF(C309="Debut Day Inscriptions",Calculator!$E$5,IFERROR(VALUE(SUBSTITUTE(F309,"/","")),0)))</f>
        <v>10</v>
      </c>
      <c r="I309" s="2">
        <f t="shared" si="28"/>
        <v>0</v>
      </c>
      <c r="J309" s="2">
        <f t="shared" si="29"/>
        <v>0</v>
      </c>
      <c r="K309" s="2">
        <f t="shared" si="30"/>
        <v>0</v>
      </c>
      <c r="L309" s="2">
        <f t="shared" si="31"/>
        <v>10</v>
      </c>
      <c r="M309" s="2">
        <f t="shared" si="32"/>
        <v>5</v>
      </c>
      <c r="N309" s="2">
        <f t="shared" si="33"/>
        <v>1</v>
      </c>
      <c r="O309" s="2">
        <f t="shared" si="34"/>
        <v>16</v>
      </c>
    </row>
    <row r="310" spans="1:15" x14ac:dyDescent="0.35">
      <c r="A310" s="2" t="s">
        <v>440</v>
      </c>
      <c r="B310" s="2" t="s">
        <v>33</v>
      </c>
      <c r="C310" s="2" t="s">
        <v>163</v>
      </c>
      <c r="D310" s="2" t="s">
        <v>332</v>
      </c>
      <c r="E310" s="2" t="s">
        <v>441</v>
      </c>
      <c r="F310" s="2" t="s">
        <v>20</v>
      </c>
      <c r="G310" s="2" t="s">
        <v>21</v>
      </c>
      <c r="H310" s="2">
        <f>IF(C310="Dynasty Autographs",Calculator!$E$4,IF(C310="Debut Day Inscriptions",Calculator!$E$5,IFERROR(VALUE(SUBSTITUTE(F310,"/","")),0)))</f>
        <v>10</v>
      </c>
      <c r="I310" s="2">
        <f t="shared" si="28"/>
        <v>0</v>
      </c>
      <c r="J310" s="2">
        <f t="shared" si="29"/>
        <v>0</v>
      </c>
      <c r="K310" s="2">
        <f t="shared" si="30"/>
        <v>0</v>
      </c>
      <c r="L310" s="2">
        <f t="shared" si="31"/>
        <v>10</v>
      </c>
      <c r="M310" s="2">
        <f t="shared" si="32"/>
        <v>5</v>
      </c>
      <c r="N310" s="2">
        <f t="shared" si="33"/>
        <v>1</v>
      </c>
      <c r="O310" s="2">
        <f t="shared" si="34"/>
        <v>16</v>
      </c>
    </row>
    <row r="311" spans="1:15" x14ac:dyDescent="0.35">
      <c r="A311" s="2" t="s">
        <v>440</v>
      </c>
      <c r="B311" s="2" t="s">
        <v>33</v>
      </c>
      <c r="C311" s="2" t="s">
        <v>163</v>
      </c>
      <c r="D311" s="2" t="s">
        <v>332</v>
      </c>
      <c r="E311" s="2" t="s">
        <v>442</v>
      </c>
      <c r="F311" s="2" t="s">
        <v>20</v>
      </c>
      <c r="G311" s="2" t="s">
        <v>21</v>
      </c>
      <c r="H311" s="2">
        <f>IF(C311="Dynasty Autographs",Calculator!$E$4,IF(C311="Debut Day Inscriptions",Calculator!$E$5,IFERROR(VALUE(SUBSTITUTE(F311,"/","")),0)))</f>
        <v>10</v>
      </c>
      <c r="I311" s="2">
        <f t="shared" si="28"/>
        <v>0</v>
      </c>
      <c r="J311" s="2">
        <f t="shared" si="29"/>
        <v>0</v>
      </c>
      <c r="K311" s="2">
        <f t="shared" si="30"/>
        <v>0</v>
      </c>
      <c r="L311" s="2">
        <f t="shared" si="31"/>
        <v>10</v>
      </c>
      <c r="M311" s="2">
        <f t="shared" si="32"/>
        <v>5</v>
      </c>
      <c r="N311" s="2">
        <f t="shared" si="33"/>
        <v>1</v>
      </c>
      <c r="O311" s="2">
        <f t="shared" si="34"/>
        <v>16</v>
      </c>
    </row>
    <row r="312" spans="1:15" x14ac:dyDescent="0.35">
      <c r="A312" s="2" t="s">
        <v>443</v>
      </c>
      <c r="B312" s="2" t="s">
        <v>47</v>
      </c>
      <c r="C312" s="2" t="s">
        <v>163</v>
      </c>
      <c r="D312" s="2" t="s">
        <v>332</v>
      </c>
      <c r="E312" s="2" t="s">
        <v>444</v>
      </c>
      <c r="F312" s="2" t="s">
        <v>20</v>
      </c>
      <c r="G312" s="2" t="s">
        <v>21</v>
      </c>
      <c r="H312" s="2">
        <f>IF(C312="Dynasty Autographs",Calculator!$E$4,IF(C312="Debut Day Inscriptions",Calculator!$E$5,IFERROR(VALUE(SUBSTITUTE(F312,"/","")),0)))</f>
        <v>10</v>
      </c>
      <c r="I312" s="2">
        <f t="shared" si="28"/>
        <v>0</v>
      </c>
      <c r="J312" s="2">
        <f t="shared" si="29"/>
        <v>0</v>
      </c>
      <c r="K312" s="2">
        <f t="shared" si="30"/>
        <v>0</v>
      </c>
      <c r="L312" s="2">
        <f t="shared" si="31"/>
        <v>10</v>
      </c>
      <c r="M312" s="2">
        <f t="shared" si="32"/>
        <v>5</v>
      </c>
      <c r="N312" s="2">
        <f t="shared" si="33"/>
        <v>1</v>
      </c>
      <c r="O312" s="2">
        <f t="shared" si="34"/>
        <v>16</v>
      </c>
    </row>
    <row r="313" spans="1:15" x14ac:dyDescent="0.35">
      <c r="A313" s="2" t="s">
        <v>443</v>
      </c>
      <c r="B313" s="2" t="s">
        <v>47</v>
      </c>
      <c r="C313" s="2" t="s">
        <v>163</v>
      </c>
      <c r="D313" s="2" t="s">
        <v>332</v>
      </c>
      <c r="E313" s="2" t="s">
        <v>445</v>
      </c>
      <c r="F313" s="2" t="s">
        <v>20</v>
      </c>
      <c r="G313" s="2" t="s">
        <v>21</v>
      </c>
      <c r="H313" s="2">
        <f>IF(C313="Dynasty Autographs",Calculator!$E$4,IF(C313="Debut Day Inscriptions",Calculator!$E$5,IFERROR(VALUE(SUBSTITUTE(F313,"/","")),0)))</f>
        <v>10</v>
      </c>
      <c r="I313" s="2">
        <f t="shared" si="28"/>
        <v>0</v>
      </c>
      <c r="J313" s="2">
        <f t="shared" si="29"/>
        <v>0</v>
      </c>
      <c r="K313" s="2">
        <f t="shared" si="30"/>
        <v>0</v>
      </c>
      <c r="L313" s="2">
        <f t="shared" si="31"/>
        <v>10</v>
      </c>
      <c r="M313" s="2">
        <f t="shared" si="32"/>
        <v>5</v>
      </c>
      <c r="N313" s="2">
        <f t="shared" si="33"/>
        <v>1</v>
      </c>
      <c r="O313" s="2">
        <f t="shared" si="34"/>
        <v>16</v>
      </c>
    </row>
    <row r="314" spans="1:15" x14ac:dyDescent="0.35">
      <c r="A314" s="2" t="s">
        <v>443</v>
      </c>
      <c r="B314" s="2" t="s">
        <v>47</v>
      </c>
      <c r="C314" s="2" t="s">
        <v>163</v>
      </c>
      <c r="D314" s="2" t="s">
        <v>332</v>
      </c>
      <c r="E314" s="2" t="s">
        <v>446</v>
      </c>
      <c r="F314" s="2" t="s">
        <v>20</v>
      </c>
      <c r="G314" s="2" t="s">
        <v>21</v>
      </c>
      <c r="H314" s="2">
        <f>IF(C314="Dynasty Autographs",Calculator!$E$4,IF(C314="Debut Day Inscriptions",Calculator!$E$5,IFERROR(VALUE(SUBSTITUTE(F314,"/","")),0)))</f>
        <v>10</v>
      </c>
      <c r="I314" s="2">
        <f t="shared" si="28"/>
        <v>0</v>
      </c>
      <c r="J314" s="2">
        <f t="shared" si="29"/>
        <v>0</v>
      </c>
      <c r="K314" s="2">
        <f t="shared" si="30"/>
        <v>0</v>
      </c>
      <c r="L314" s="2">
        <f t="shared" si="31"/>
        <v>10</v>
      </c>
      <c r="M314" s="2">
        <f t="shared" si="32"/>
        <v>5</v>
      </c>
      <c r="N314" s="2">
        <f t="shared" si="33"/>
        <v>1</v>
      </c>
      <c r="O314" s="2">
        <f t="shared" si="34"/>
        <v>16</v>
      </c>
    </row>
    <row r="315" spans="1:15" x14ac:dyDescent="0.35">
      <c r="A315" s="2" t="s">
        <v>86</v>
      </c>
      <c r="B315" s="2" t="s">
        <v>87</v>
      </c>
      <c r="C315" s="2" t="s">
        <v>163</v>
      </c>
      <c r="D315" s="2" t="s">
        <v>332</v>
      </c>
      <c r="E315" s="2" t="s">
        <v>447</v>
      </c>
      <c r="F315" s="2" t="s">
        <v>20</v>
      </c>
      <c r="G315" s="2" t="s">
        <v>21</v>
      </c>
      <c r="H315" s="2">
        <f>IF(C315="Dynasty Autographs",Calculator!$E$4,IF(C315="Debut Day Inscriptions",Calculator!$E$5,IFERROR(VALUE(SUBSTITUTE(F315,"/","")),0)))</f>
        <v>10</v>
      </c>
      <c r="I315" s="2">
        <f t="shared" si="28"/>
        <v>0</v>
      </c>
      <c r="J315" s="2">
        <f t="shared" si="29"/>
        <v>0</v>
      </c>
      <c r="K315" s="2">
        <f t="shared" si="30"/>
        <v>0</v>
      </c>
      <c r="L315" s="2">
        <f t="shared" si="31"/>
        <v>10</v>
      </c>
      <c r="M315" s="2">
        <f t="shared" si="32"/>
        <v>5</v>
      </c>
      <c r="N315" s="2">
        <f t="shared" si="33"/>
        <v>1</v>
      </c>
      <c r="O315" s="2">
        <f t="shared" si="34"/>
        <v>16</v>
      </c>
    </row>
    <row r="316" spans="1:15" x14ac:dyDescent="0.35">
      <c r="A316" s="2" t="s">
        <v>86</v>
      </c>
      <c r="B316" s="2" t="s">
        <v>87</v>
      </c>
      <c r="C316" s="2" t="s">
        <v>163</v>
      </c>
      <c r="D316" s="2" t="s">
        <v>332</v>
      </c>
      <c r="E316" s="2" t="s">
        <v>448</v>
      </c>
      <c r="F316" s="2" t="s">
        <v>20</v>
      </c>
      <c r="G316" s="2" t="s">
        <v>21</v>
      </c>
      <c r="H316" s="2">
        <f>IF(C316="Dynasty Autographs",Calculator!$E$4,IF(C316="Debut Day Inscriptions",Calculator!$E$5,IFERROR(VALUE(SUBSTITUTE(F316,"/","")),0)))</f>
        <v>10</v>
      </c>
      <c r="I316" s="2">
        <f t="shared" si="28"/>
        <v>0</v>
      </c>
      <c r="J316" s="2">
        <f t="shared" si="29"/>
        <v>0</v>
      </c>
      <c r="K316" s="2">
        <f t="shared" si="30"/>
        <v>0</v>
      </c>
      <c r="L316" s="2">
        <f t="shared" si="31"/>
        <v>10</v>
      </c>
      <c r="M316" s="2">
        <f t="shared" si="32"/>
        <v>5</v>
      </c>
      <c r="N316" s="2">
        <f t="shared" si="33"/>
        <v>1</v>
      </c>
      <c r="O316" s="2">
        <f t="shared" si="34"/>
        <v>16</v>
      </c>
    </row>
    <row r="317" spans="1:15" x14ac:dyDescent="0.35">
      <c r="A317" s="2" t="s">
        <v>86</v>
      </c>
      <c r="B317" s="2" t="s">
        <v>87</v>
      </c>
      <c r="C317" s="2" t="s">
        <v>163</v>
      </c>
      <c r="D317" s="2" t="s">
        <v>332</v>
      </c>
      <c r="E317" s="2" t="s">
        <v>449</v>
      </c>
      <c r="F317" s="2" t="s">
        <v>20</v>
      </c>
      <c r="G317" s="2" t="s">
        <v>21</v>
      </c>
      <c r="H317" s="2">
        <f>IF(C317="Dynasty Autographs",Calculator!$E$4,IF(C317="Debut Day Inscriptions",Calculator!$E$5,IFERROR(VALUE(SUBSTITUTE(F317,"/","")),0)))</f>
        <v>10</v>
      </c>
      <c r="I317" s="2">
        <f t="shared" si="28"/>
        <v>0</v>
      </c>
      <c r="J317" s="2">
        <f t="shared" si="29"/>
        <v>0</v>
      </c>
      <c r="K317" s="2">
        <f t="shared" si="30"/>
        <v>0</v>
      </c>
      <c r="L317" s="2">
        <f t="shared" si="31"/>
        <v>10</v>
      </c>
      <c r="M317" s="2">
        <f t="shared" si="32"/>
        <v>5</v>
      </c>
      <c r="N317" s="2">
        <f t="shared" si="33"/>
        <v>1</v>
      </c>
      <c r="O317" s="2">
        <f t="shared" si="34"/>
        <v>16</v>
      </c>
    </row>
    <row r="318" spans="1:15" x14ac:dyDescent="0.35">
      <c r="A318" s="2" t="s">
        <v>86</v>
      </c>
      <c r="B318" s="2" t="s">
        <v>87</v>
      </c>
      <c r="C318" s="2" t="s">
        <v>163</v>
      </c>
      <c r="D318" s="2" t="s">
        <v>332</v>
      </c>
      <c r="E318" s="2" t="s">
        <v>450</v>
      </c>
      <c r="F318" s="2" t="s">
        <v>20</v>
      </c>
      <c r="G318" s="2" t="s">
        <v>21</v>
      </c>
      <c r="H318" s="2">
        <f>IF(C318="Dynasty Autographs",Calculator!$E$4,IF(C318="Debut Day Inscriptions",Calculator!$E$5,IFERROR(VALUE(SUBSTITUTE(F318,"/","")),0)))</f>
        <v>10</v>
      </c>
      <c r="I318" s="2">
        <f t="shared" si="28"/>
        <v>0</v>
      </c>
      <c r="J318" s="2">
        <f t="shared" si="29"/>
        <v>0</v>
      </c>
      <c r="K318" s="2">
        <f t="shared" si="30"/>
        <v>0</v>
      </c>
      <c r="L318" s="2">
        <f t="shared" si="31"/>
        <v>10</v>
      </c>
      <c r="M318" s="2">
        <f t="shared" si="32"/>
        <v>5</v>
      </c>
      <c r="N318" s="2">
        <f t="shared" si="33"/>
        <v>1</v>
      </c>
      <c r="O318" s="2">
        <f t="shared" si="34"/>
        <v>16</v>
      </c>
    </row>
    <row r="319" spans="1:15" x14ac:dyDescent="0.35">
      <c r="A319" s="2" t="s">
        <v>86</v>
      </c>
      <c r="B319" s="2" t="s">
        <v>87</v>
      </c>
      <c r="C319" s="2" t="s">
        <v>163</v>
      </c>
      <c r="D319" s="2" t="s">
        <v>332</v>
      </c>
      <c r="E319" s="2" t="s">
        <v>451</v>
      </c>
      <c r="F319" s="2" t="s">
        <v>20</v>
      </c>
      <c r="G319" s="2" t="s">
        <v>21</v>
      </c>
      <c r="H319" s="2">
        <f>IF(C319="Dynasty Autographs",Calculator!$E$4,IF(C319="Debut Day Inscriptions",Calculator!$E$5,IFERROR(VALUE(SUBSTITUTE(F319,"/","")),0)))</f>
        <v>10</v>
      </c>
      <c r="I319" s="2">
        <f t="shared" si="28"/>
        <v>0</v>
      </c>
      <c r="J319" s="2">
        <f t="shared" si="29"/>
        <v>0</v>
      </c>
      <c r="K319" s="2">
        <f t="shared" si="30"/>
        <v>0</v>
      </c>
      <c r="L319" s="2">
        <f t="shared" si="31"/>
        <v>10</v>
      </c>
      <c r="M319" s="2">
        <f t="shared" si="32"/>
        <v>5</v>
      </c>
      <c r="N319" s="2">
        <f t="shared" si="33"/>
        <v>1</v>
      </c>
      <c r="O319" s="2">
        <f t="shared" si="34"/>
        <v>16</v>
      </c>
    </row>
    <row r="320" spans="1:15" x14ac:dyDescent="0.35">
      <c r="A320" s="2" t="s">
        <v>86</v>
      </c>
      <c r="B320" s="2" t="s">
        <v>87</v>
      </c>
      <c r="C320" s="2" t="s">
        <v>163</v>
      </c>
      <c r="D320" s="2" t="s">
        <v>332</v>
      </c>
      <c r="E320" s="2" t="s">
        <v>452</v>
      </c>
      <c r="F320" s="2" t="s">
        <v>20</v>
      </c>
      <c r="G320" s="2" t="s">
        <v>21</v>
      </c>
      <c r="H320" s="2">
        <f>IF(C320="Dynasty Autographs",Calculator!$E$4,IF(C320="Debut Day Inscriptions",Calculator!$E$5,IFERROR(VALUE(SUBSTITUTE(F320,"/","")),0)))</f>
        <v>10</v>
      </c>
      <c r="I320" s="2">
        <f t="shared" si="28"/>
        <v>0</v>
      </c>
      <c r="J320" s="2">
        <f t="shared" si="29"/>
        <v>0</v>
      </c>
      <c r="K320" s="2">
        <f t="shared" si="30"/>
        <v>0</v>
      </c>
      <c r="L320" s="2">
        <f t="shared" si="31"/>
        <v>10</v>
      </c>
      <c r="M320" s="2">
        <f t="shared" si="32"/>
        <v>5</v>
      </c>
      <c r="N320" s="2">
        <f t="shared" si="33"/>
        <v>1</v>
      </c>
      <c r="O320" s="2">
        <f t="shared" si="34"/>
        <v>16</v>
      </c>
    </row>
    <row r="321" spans="1:15" x14ac:dyDescent="0.35">
      <c r="A321" s="2" t="s">
        <v>89</v>
      </c>
      <c r="B321" s="2" t="s">
        <v>71</v>
      </c>
      <c r="C321" s="2" t="s">
        <v>163</v>
      </c>
      <c r="D321" s="2" t="s">
        <v>332</v>
      </c>
      <c r="E321" s="2" t="s">
        <v>453</v>
      </c>
      <c r="F321" s="2" t="s">
        <v>20</v>
      </c>
      <c r="G321" s="2" t="s">
        <v>21</v>
      </c>
      <c r="H321" s="2">
        <f>IF(C321="Dynasty Autographs",Calculator!$E$4,IF(C321="Debut Day Inscriptions",Calculator!$E$5,IFERROR(VALUE(SUBSTITUTE(F321,"/","")),0)))</f>
        <v>10</v>
      </c>
      <c r="I321" s="2">
        <f t="shared" si="28"/>
        <v>0</v>
      </c>
      <c r="J321" s="2">
        <f t="shared" si="29"/>
        <v>0</v>
      </c>
      <c r="K321" s="2">
        <f t="shared" si="30"/>
        <v>0</v>
      </c>
      <c r="L321" s="2">
        <f t="shared" si="31"/>
        <v>10</v>
      </c>
      <c r="M321" s="2">
        <f t="shared" si="32"/>
        <v>5</v>
      </c>
      <c r="N321" s="2">
        <f t="shared" si="33"/>
        <v>1</v>
      </c>
      <c r="O321" s="2">
        <f t="shared" si="34"/>
        <v>16</v>
      </c>
    </row>
    <row r="322" spans="1:15" x14ac:dyDescent="0.35">
      <c r="A322" s="2" t="s">
        <v>89</v>
      </c>
      <c r="B322" s="2" t="s">
        <v>71</v>
      </c>
      <c r="C322" s="2" t="s">
        <v>163</v>
      </c>
      <c r="D322" s="2" t="s">
        <v>332</v>
      </c>
      <c r="E322" s="2" t="s">
        <v>454</v>
      </c>
      <c r="F322" s="2" t="s">
        <v>20</v>
      </c>
      <c r="G322" s="2" t="s">
        <v>21</v>
      </c>
      <c r="H322" s="2">
        <f>IF(C322="Dynasty Autographs",Calculator!$E$4,IF(C322="Debut Day Inscriptions",Calculator!$E$5,IFERROR(VALUE(SUBSTITUTE(F322,"/","")),0)))</f>
        <v>10</v>
      </c>
      <c r="I322" s="2">
        <f t="shared" ref="I322:I385" si="35">IF(H322=99,99,IF(ISNUMBER(SEARCH("/99",G322)),99,0))</f>
        <v>0</v>
      </c>
      <c r="J322" s="2">
        <f t="shared" ref="J322:J385" si="36">IF(H322=50,50,IF(ISNUMBER(SEARCH("/50",G322)),50,0))</f>
        <v>0</v>
      </c>
      <c r="K322" s="2">
        <f t="shared" ref="K322:K385" si="37">IF(H322=25,25,IF(ISNUMBER(SEARCH("/25",G322)),25,0))</f>
        <v>0</v>
      </c>
      <c r="L322" s="2">
        <f t="shared" ref="L322:L385" si="38">IF(H322=10,10,IF(ISNUMBER(SEARCH("/10",G322)),10,0))</f>
        <v>10</v>
      </c>
      <c r="M322" s="2">
        <f t="shared" ref="M322:M385" si="39">IF(H322=5,5,IF(ISNUMBER(SEARCH("/5",G322)),5,0))</f>
        <v>5</v>
      </c>
      <c r="N322" s="2">
        <f t="shared" ref="N322:N385" si="40">IF(H322=1,1,IF(ISNUMBER(SEARCH("1/1",G322)),1,0))</f>
        <v>1</v>
      </c>
      <c r="O322" s="2">
        <f t="shared" ref="O322:O385" si="41">SUM(I322:N322)</f>
        <v>16</v>
      </c>
    </row>
    <row r="323" spans="1:15" x14ac:dyDescent="0.35">
      <c r="A323" s="2" t="s">
        <v>89</v>
      </c>
      <c r="B323" s="2" t="s">
        <v>71</v>
      </c>
      <c r="C323" s="2" t="s">
        <v>163</v>
      </c>
      <c r="D323" s="2" t="s">
        <v>332</v>
      </c>
      <c r="E323" s="2" t="s">
        <v>455</v>
      </c>
      <c r="F323" s="2" t="s">
        <v>20</v>
      </c>
      <c r="G323" s="2" t="s">
        <v>21</v>
      </c>
      <c r="H323" s="2">
        <f>IF(C323="Dynasty Autographs",Calculator!$E$4,IF(C323="Debut Day Inscriptions",Calculator!$E$5,IFERROR(VALUE(SUBSTITUTE(F323,"/","")),0)))</f>
        <v>10</v>
      </c>
      <c r="I323" s="2">
        <f t="shared" si="35"/>
        <v>0</v>
      </c>
      <c r="J323" s="2">
        <f t="shared" si="36"/>
        <v>0</v>
      </c>
      <c r="K323" s="2">
        <f t="shared" si="37"/>
        <v>0</v>
      </c>
      <c r="L323" s="2">
        <f t="shared" si="38"/>
        <v>10</v>
      </c>
      <c r="M323" s="2">
        <f t="shared" si="39"/>
        <v>5</v>
      </c>
      <c r="N323" s="2">
        <f t="shared" si="40"/>
        <v>1</v>
      </c>
      <c r="O323" s="2">
        <f t="shared" si="41"/>
        <v>16</v>
      </c>
    </row>
    <row r="324" spans="1:15" x14ac:dyDescent="0.35">
      <c r="A324" s="2" t="s">
        <v>89</v>
      </c>
      <c r="B324" s="2" t="s">
        <v>71</v>
      </c>
      <c r="C324" s="2" t="s">
        <v>163</v>
      </c>
      <c r="D324" s="2" t="s">
        <v>332</v>
      </c>
      <c r="E324" s="2" t="s">
        <v>456</v>
      </c>
      <c r="F324" s="2" t="s">
        <v>20</v>
      </c>
      <c r="G324" s="2" t="s">
        <v>21</v>
      </c>
      <c r="H324" s="2">
        <f>IF(C324="Dynasty Autographs",Calculator!$E$4,IF(C324="Debut Day Inscriptions",Calculator!$E$5,IFERROR(VALUE(SUBSTITUTE(F324,"/","")),0)))</f>
        <v>10</v>
      </c>
      <c r="I324" s="2">
        <f t="shared" si="35"/>
        <v>0</v>
      </c>
      <c r="J324" s="2">
        <f t="shared" si="36"/>
        <v>0</v>
      </c>
      <c r="K324" s="2">
        <f t="shared" si="37"/>
        <v>0</v>
      </c>
      <c r="L324" s="2">
        <f t="shared" si="38"/>
        <v>10</v>
      </c>
      <c r="M324" s="2">
        <f t="shared" si="39"/>
        <v>5</v>
      </c>
      <c r="N324" s="2">
        <f t="shared" si="40"/>
        <v>1</v>
      </c>
      <c r="O324" s="2">
        <f t="shared" si="41"/>
        <v>16</v>
      </c>
    </row>
    <row r="325" spans="1:15" x14ac:dyDescent="0.35">
      <c r="A325" s="2" t="s">
        <v>89</v>
      </c>
      <c r="B325" s="2" t="s">
        <v>71</v>
      </c>
      <c r="C325" s="2" t="s">
        <v>163</v>
      </c>
      <c r="D325" s="2" t="s">
        <v>332</v>
      </c>
      <c r="E325" s="2" t="s">
        <v>457</v>
      </c>
      <c r="F325" s="2" t="s">
        <v>20</v>
      </c>
      <c r="G325" s="2" t="s">
        <v>21</v>
      </c>
      <c r="H325" s="2">
        <f>IF(C325="Dynasty Autographs",Calculator!$E$4,IF(C325="Debut Day Inscriptions",Calculator!$E$5,IFERROR(VALUE(SUBSTITUTE(F325,"/","")),0)))</f>
        <v>10</v>
      </c>
      <c r="I325" s="2">
        <f t="shared" si="35"/>
        <v>0</v>
      </c>
      <c r="J325" s="2">
        <f t="shared" si="36"/>
        <v>0</v>
      </c>
      <c r="K325" s="2">
        <f t="shared" si="37"/>
        <v>0</v>
      </c>
      <c r="L325" s="2">
        <f t="shared" si="38"/>
        <v>10</v>
      </c>
      <c r="M325" s="2">
        <f t="shared" si="39"/>
        <v>5</v>
      </c>
      <c r="N325" s="2">
        <f t="shared" si="40"/>
        <v>1</v>
      </c>
      <c r="O325" s="2">
        <f t="shared" si="41"/>
        <v>16</v>
      </c>
    </row>
    <row r="326" spans="1:15" x14ac:dyDescent="0.35">
      <c r="A326" s="2" t="s">
        <v>89</v>
      </c>
      <c r="B326" s="2" t="s">
        <v>71</v>
      </c>
      <c r="C326" s="2" t="s">
        <v>163</v>
      </c>
      <c r="D326" s="2" t="s">
        <v>332</v>
      </c>
      <c r="E326" s="2" t="s">
        <v>458</v>
      </c>
      <c r="F326" s="2" t="s">
        <v>20</v>
      </c>
      <c r="G326" s="2" t="s">
        <v>21</v>
      </c>
      <c r="H326" s="2">
        <f>IF(C326="Dynasty Autographs",Calculator!$E$4,IF(C326="Debut Day Inscriptions",Calculator!$E$5,IFERROR(VALUE(SUBSTITUTE(F326,"/","")),0)))</f>
        <v>10</v>
      </c>
      <c r="I326" s="2">
        <f t="shared" si="35"/>
        <v>0</v>
      </c>
      <c r="J326" s="2">
        <f t="shared" si="36"/>
        <v>0</v>
      </c>
      <c r="K326" s="2">
        <f t="shared" si="37"/>
        <v>0</v>
      </c>
      <c r="L326" s="2">
        <f t="shared" si="38"/>
        <v>10</v>
      </c>
      <c r="M326" s="2">
        <f t="shared" si="39"/>
        <v>5</v>
      </c>
      <c r="N326" s="2">
        <f t="shared" si="40"/>
        <v>1</v>
      </c>
      <c r="O326" s="2">
        <f t="shared" si="41"/>
        <v>16</v>
      </c>
    </row>
    <row r="327" spans="1:15" x14ac:dyDescent="0.35">
      <c r="A327" s="2" t="s">
        <v>144</v>
      </c>
      <c r="B327" s="2" t="s">
        <v>42</v>
      </c>
      <c r="C327" s="2" t="s">
        <v>163</v>
      </c>
      <c r="D327" s="2" t="s">
        <v>332</v>
      </c>
      <c r="E327" s="2" t="s">
        <v>459</v>
      </c>
      <c r="F327" s="2" t="s">
        <v>20</v>
      </c>
      <c r="G327" s="2" t="s">
        <v>21</v>
      </c>
      <c r="H327" s="2">
        <f>IF(C327="Dynasty Autographs",Calculator!$E$4,IF(C327="Debut Day Inscriptions",Calculator!$E$5,IFERROR(VALUE(SUBSTITUTE(F327,"/","")),0)))</f>
        <v>10</v>
      </c>
      <c r="I327" s="2">
        <f t="shared" si="35"/>
        <v>0</v>
      </c>
      <c r="J327" s="2">
        <f t="shared" si="36"/>
        <v>0</v>
      </c>
      <c r="K327" s="2">
        <f t="shared" si="37"/>
        <v>0</v>
      </c>
      <c r="L327" s="2">
        <f t="shared" si="38"/>
        <v>10</v>
      </c>
      <c r="M327" s="2">
        <f t="shared" si="39"/>
        <v>5</v>
      </c>
      <c r="N327" s="2">
        <f t="shared" si="40"/>
        <v>1</v>
      </c>
      <c r="O327" s="2">
        <f t="shared" si="41"/>
        <v>16</v>
      </c>
    </row>
    <row r="328" spans="1:15" x14ac:dyDescent="0.35">
      <c r="A328" s="2" t="s">
        <v>93</v>
      </c>
      <c r="B328" s="2" t="s">
        <v>47</v>
      </c>
      <c r="C328" s="2" t="s">
        <v>163</v>
      </c>
      <c r="D328" s="2" t="s">
        <v>332</v>
      </c>
      <c r="E328" s="2" t="s">
        <v>460</v>
      </c>
      <c r="F328" s="2" t="s">
        <v>20</v>
      </c>
      <c r="G328" s="2" t="s">
        <v>21</v>
      </c>
      <c r="H328" s="2">
        <f>IF(C328="Dynasty Autographs",Calculator!$E$4,IF(C328="Debut Day Inscriptions",Calculator!$E$5,IFERROR(VALUE(SUBSTITUTE(F328,"/","")),0)))</f>
        <v>10</v>
      </c>
      <c r="I328" s="2">
        <f t="shared" si="35"/>
        <v>0</v>
      </c>
      <c r="J328" s="2">
        <f t="shared" si="36"/>
        <v>0</v>
      </c>
      <c r="K328" s="2">
        <f t="shared" si="37"/>
        <v>0</v>
      </c>
      <c r="L328" s="2">
        <f t="shared" si="38"/>
        <v>10</v>
      </c>
      <c r="M328" s="2">
        <f t="shared" si="39"/>
        <v>5</v>
      </c>
      <c r="N328" s="2">
        <f t="shared" si="40"/>
        <v>1</v>
      </c>
      <c r="O328" s="2">
        <f t="shared" si="41"/>
        <v>16</v>
      </c>
    </row>
    <row r="329" spans="1:15" x14ac:dyDescent="0.35">
      <c r="A329" s="2" t="s">
        <v>93</v>
      </c>
      <c r="B329" s="2" t="s">
        <v>47</v>
      </c>
      <c r="C329" s="2" t="s">
        <v>163</v>
      </c>
      <c r="D329" s="2" t="s">
        <v>332</v>
      </c>
      <c r="E329" s="2" t="s">
        <v>461</v>
      </c>
      <c r="F329" s="2" t="s">
        <v>20</v>
      </c>
      <c r="G329" s="2" t="s">
        <v>21</v>
      </c>
      <c r="H329" s="2">
        <f>IF(C329="Dynasty Autographs",Calculator!$E$4,IF(C329="Debut Day Inscriptions",Calculator!$E$5,IFERROR(VALUE(SUBSTITUTE(F329,"/","")),0)))</f>
        <v>10</v>
      </c>
      <c r="I329" s="2">
        <f t="shared" si="35"/>
        <v>0</v>
      </c>
      <c r="J329" s="2">
        <f t="shared" si="36"/>
        <v>0</v>
      </c>
      <c r="K329" s="2">
        <f t="shared" si="37"/>
        <v>0</v>
      </c>
      <c r="L329" s="2">
        <f t="shared" si="38"/>
        <v>10</v>
      </c>
      <c r="M329" s="2">
        <f t="shared" si="39"/>
        <v>5</v>
      </c>
      <c r="N329" s="2">
        <f t="shared" si="40"/>
        <v>1</v>
      </c>
      <c r="O329" s="2">
        <f t="shared" si="41"/>
        <v>16</v>
      </c>
    </row>
    <row r="330" spans="1:15" x14ac:dyDescent="0.35">
      <c r="A330" s="2" t="s">
        <v>93</v>
      </c>
      <c r="B330" s="2" t="s">
        <v>47</v>
      </c>
      <c r="C330" s="2" t="s">
        <v>163</v>
      </c>
      <c r="D330" s="2" t="s">
        <v>332</v>
      </c>
      <c r="E330" s="2" t="s">
        <v>462</v>
      </c>
      <c r="F330" s="2" t="s">
        <v>20</v>
      </c>
      <c r="G330" s="2" t="s">
        <v>21</v>
      </c>
      <c r="H330" s="2">
        <f>IF(C330="Dynasty Autographs",Calculator!$E$4,IF(C330="Debut Day Inscriptions",Calculator!$E$5,IFERROR(VALUE(SUBSTITUTE(F330,"/","")),0)))</f>
        <v>10</v>
      </c>
      <c r="I330" s="2">
        <f t="shared" si="35"/>
        <v>0</v>
      </c>
      <c r="J330" s="2">
        <f t="shared" si="36"/>
        <v>0</v>
      </c>
      <c r="K330" s="2">
        <f t="shared" si="37"/>
        <v>0</v>
      </c>
      <c r="L330" s="2">
        <f t="shared" si="38"/>
        <v>10</v>
      </c>
      <c r="M330" s="2">
        <f t="shared" si="39"/>
        <v>5</v>
      </c>
      <c r="N330" s="2">
        <f t="shared" si="40"/>
        <v>1</v>
      </c>
      <c r="O330" s="2">
        <f t="shared" si="41"/>
        <v>16</v>
      </c>
    </row>
    <row r="331" spans="1:15" x14ac:dyDescent="0.35">
      <c r="A331" s="2" t="s">
        <v>463</v>
      </c>
      <c r="B331" s="2" t="s">
        <v>351</v>
      </c>
      <c r="C331" s="2" t="s">
        <v>163</v>
      </c>
      <c r="D331" s="2" t="s">
        <v>332</v>
      </c>
      <c r="E331" s="2" t="s">
        <v>464</v>
      </c>
      <c r="F331" s="2" t="s">
        <v>20</v>
      </c>
      <c r="G331" s="2" t="s">
        <v>21</v>
      </c>
      <c r="H331" s="2">
        <f>IF(C331="Dynasty Autographs",Calculator!$E$4,IF(C331="Debut Day Inscriptions",Calculator!$E$5,IFERROR(VALUE(SUBSTITUTE(F331,"/","")),0)))</f>
        <v>10</v>
      </c>
      <c r="I331" s="2">
        <f t="shared" si="35"/>
        <v>0</v>
      </c>
      <c r="J331" s="2">
        <f t="shared" si="36"/>
        <v>0</v>
      </c>
      <c r="K331" s="2">
        <f t="shared" si="37"/>
        <v>0</v>
      </c>
      <c r="L331" s="2">
        <f t="shared" si="38"/>
        <v>10</v>
      </c>
      <c r="M331" s="2">
        <f t="shared" si="39"/>
        <v>5</v>
      </c>
      <c r="N331" s="2">
        <f t="shared" si="40"/>
        <v>1</v>
      </c>
      <c r="O331" s="2">
        <f t="shared" si="41"/>
        <v>16</v>
      </c>
    </row>
    <row r="332" spans="1:15" x14ac:dyDescent="0.35">
      <c r="A332" s="2" t="s">
        <v>463</v>
      </c>
      <c r="B332" s="2" t="s">
        <v>351</v>
      </c>
      <c r="C332" s="2" t="s">
        <v>163</v>
      </c>
      <c r="D332" s="2" t="s">
        <v>332</v>
      </c>
      <c r="E332" s="2" t="s">
        <v>465</v>
      </c>
      <c r="F332" s="2" t="s">
        <v>20</v>
      </c>
      <c r="G332" s="2" t="s">
        <v>21</v>
      </c>
      <c r="H332" s="2">
        <f>IF(C332="Dynasty Autographs",Calculator!$E$4,IF(C332="Debut Day Inscriptions",Calculator!$E$5,IFERROR(VALUE(SUBSTITUTE(F332,"/","")),0)))</f>
        <v>10</v>
      </c>
      <c r="I332" s="2">
        <f t="shared" si="35"/>
        <v>0</v>
      </c>
      <c r="J332" s="2">
        <f t="shared" si="36"/>
        <v>0</v>
      </c>
      <c r="K332" s="2">
        <f t="shared" si="37"/>
        <v>0</v>
      </c>
      <c r="L332" s="2">
        <f t="shared" si="38"/>
        <v>10</v>
      </c>
      <c r="M332" s="2">
        <f t="shared" si="39"/>
        <v>5</v>
      </c>
      <c r="N332" s="2">
        <f t="shared" si="40"/>
        <v>1</v>
      </c>
      <c r="O332" s="2">
        <f t="shared" si="41"/>
        <v>16</v>
      </c>
    </row>
    <row r="333" spans="1:15" x14ac:dyDescent="0.35">
      <c r="A333" s="2" t="s">
        <v>463</v>
      </c>
      <c r="B333" s="2" t="s">
        <v>351</v>
      </c>
      <c r="C333" s="2" t="s">
        <v>163</v>
      </c>
      <c r="D333" s="2" t="s">
        <v>332</v>
      </c>
      <c r="E333" s="2" t="s">
        <v>466</v>
      </c>
      <c r="F333" s="2" t="s">
        <v>20</v>
      </c>
      <c r="G333" s="2" t="s">
        <v>21</v>
      </c>
      <c r="H333" s="2">
        <f>IF(C333="Dynasty Autographs",Calculator!$E$4,IF(C333="Debut Day Inscriptions",Calculator!$E$5,IFERROR(VALUE(SUBSTITUTE(F333,"/","")),0)))</f>
        <v>10</v>
      </c>
      <c r="I333" s="2">
        <f t="shared" si="35"/>
        <v>0</v>
      </c>
      <c r="J333" s="2">
        <f t="shared" si="36"/>
        <v>0</v>
      </c>
      <c r="K333" s="2">
        <f t="shared" si="37"/>
        <v>0</v>
      </c>
      <c r="L333" s="2">
        <f t="shared" si="38"/>
        <v>10</v>
      </c>
      <c r="M333" s="2">
        <f t="shared" si="39"/>
        <v>5</v>
      </c>
      <c r="N333" s="2">
        <f t="shared" si="40"/>
        <v>1</v>
      </c>
      <c r="O333" s="2">
        <f t="shared" si="41"/>
        <v>16</v>
      </c>
    </row>
    <row r="334" spans="1:15" ht="29" x14ac:dyDescent="0.35">
      <c r="A334" s="2" t="s">
        <v>467</v>
      </c>
      <c r="B334" s="2" t="s">
        <v>16</v>
      </c>
      <c r="C334" s="2" t="s">
        <v>468</v>
      </c>
      <c r="D334" s="2" t="s">
        <v>469</v>
      </c>
      <c r="E334" s="2" t="s">
        <v>470</v>
      </c>
      <c r="F334" s="2" t="s">
        <v>98</v>
      </c>
      <c r="G334" s="2" t="s">
        <v>21</v>
      </c>
      <c r="H334" s="2">
        <f>IF(C334="Dynasty Autographs",Calculator!$E$4,IF(C334="Debut Day Inscriptions",Calculator!$E$5,IFERROR(VALUE(SUBSTITUTE(F334,"/","")),0)))</f>
        <v>10</v>
      </c>
      <c r="I334" s="2">
        <f t="shared" si="35"/>
        <v>0</v>
      </c>
      <c r="J334" s="2">
        <f t="shared" si="36"/>
        <v>0</v>
      </c>
      <c r="K334" s="2">
        <f t="shared" si="37"/>
        <v>0</v>
      </c>
      <c r="L334" s="2">
        <f t="shared" si="38"/>
        <v>10</v>
      </c>
      <c r="M334" s="2">
        <f t="shared" si="39"/>
        <v>5</v>
      </c>
      <c r="N334" s="2">
        <f t="shared" si="40"/>
        <v>1</v>
      </c>
      <c r="O334" s="2">
        <f t="shared" si="41"/>
        <v>16</v>
      </c>
    </row>
    <row r="335" spans="1:15" ht="29" x14ac:dyDescent="0.35">
      <c r="A335" s="2" t="s">
        <v>467</v>
      </c>
      <c r="B335" s="2" t="s">
        <v>16</v>
      </c>
      <c r="C335" s="2" t="s">
        <v>468</v>
      </c>
      <c r="D335" s="2" t="s">
        <v>469</v>
      </c>
      <c r="E335" s="2" t="s">
        <v>471</v>
      </c>
      <c r="F335" s="2" t="s">
        <v>98</v>
      </c>
      <c r="G335" s="2" t="s">
        <v>21</v>
      </c>
      <c r="H335" s="2">
        <f>IF(C335="Dynasty Autographs",Calculator!$E$4,IF(C335="Debut Day Inscriptions",Calculator!$E$5,IFERROR(VALUE(SUBSTITUTE(F335,"/","")),0)))</f>
        <v>10</v>
      </c>
      <c r="I335" s="2">
        <f t="shared" si="35"/>
        <v>0</v>
      </c>
      <c r="J335" s="2">
        <f t="shared" si="36"/>
        <v>0</v>
      </c>
      <c r="K335" s="2">
        <f t="shared" si="37"/>
        <v>0</v>
      </c>
      <c r="L335" s="2">
        <f t="shared" si="38"/>
        <v>10</v>
      </c>
      <c r="M335" s="2">
        <f t="shared" si="39"/>
        <v>5</v>
      </c>
      <c r="N335" s="2">
        <f t="shared" si="40"/>
        <v>1</v>
      </c>
      <c r="O335" s="2">
        <f t="shared" si="41"/>
        <v>16</v>
      </c>
    </row>
    <row r="336" spans="1:15" ht="29" x14ac:dyDescent="0.35">
      <c r="A336" s="2" t="s">
        <v>467</v>
      </c>
      <c r="B336" s="2" t="s">
        <v>16</v>
      </c>
      <c r="C336" s="2" t="s">
        <v>468</v>
      </c>
      <c r="D336" s="2" t="s">
        <v>469</v>
      </c>
      <c r="E336" s="2" t="s">
        <v>472</v>
      </c>
      <c r="F336" s="2" t="s">
        <v>98</v>
      </c>
      <c r="G336" s="2" t="s">
        <v>21</v>
      </c>
      <c r="H336" s="2">
        <f>IF(C336="Dynasty Autographs",Calculator!$E$4,IF(C336="Debut Day Inscriptions",Calculator!$E$5,IFERROR(VALUE(SUBSTITUTE(F336,"/","")),0)))</f>
        <v>10</v>
      </c>
      <c r="I336" s="2">
        <f t="shared" si="35"/>
        <v>0</v>
      </c>
      <c r="J336" s="2">
        <f t="shared" si="36"/>
        <v>0</v>
      </c>
      <c r="K336" s="2">
        <f t="shared" si="37"/>
        <v>0</v>
      </c>
      <c r="L336" s="2">
        <f t="shared" si="38"/>
        <v>10</v>
      </c>
      <c r="M336" s="2">
        <f t="shared" si="39"/>
        <v>5</v>
      </c>
      <c r="N336" s="2">
        <f t="shared" si="40"/>
        <v>1</v>
      </c>
      <c r="O336" s="2">
        <f t="shared" si="41"/>
        <v>16</v>
      </c>
    </row>
    <row r="337" spans="1:15" ht="29" x14ac:dyDescent="0.35">
      <c r="A337" s="2" t="s">
        <v>467</v>
      </c>
      <c r="B337" s="2" t="s">
        <v>16</v>
      </c>
      <c r="C337" s="2" t="s">
        <v>468</v>
      </c>
      <c r="D337" s="2" t="s">
        <v>469</v>
      </c>
      <c r="E337" s="2" t="s">
        <v>473</v>
      </c>
      <c r="F337" s="2" t="s">
        <v>98</v>
      </c>
      <c r="G337" s="2" t="s">
        <v>21</v>
      </c>
      <c r="H337" s="2">
        <f>IF(C337="Dynasty Autographs",Calculator!$E$4,IF(C337="Debut Day Inscriptions",Calculator!$E$5,IFERROR(VALUE(SUBSTITUTE(F337,"/","")),0)))</f>
        <v>10</v>
      </c>
      <c r="I337" s="2">
        <f t="shared" si="35"/>
        <v>0</v>
      </c>
      <c r="J337" s="2">
        <f t="shared" si="36"/>
        <v>0</v>
      </c>
      <c r="K337" s="2">
        <f t="shared" si="37"/>
        <v>0</v>
      </c>
      <c r="L337" s="2">
        <f t="shared" si="38"/>
        <v>10</v>
      </c>
      <c r="M337" s="2">
        <f t="shared" si="39"/>
        <v>5</v>
      </c>
      <c r="N337" s="2">
        <f t="shared" si="40"/>
        <v>1</v>
      </c>
      <c r="O337" s="2">
        <f t="shared" si="41"/>
        <v>16</v>
      </c>
    </row>
    <row r="338" spans="1:15" ht="29" x14ac:dyDescent="0.35">
      <c r="A338" s="2" t="s">
        <v>474</v>
      </c>
      <c r="B338" s="2" t="s">
        <v>16</v>
      </c>
      <c r="C338" s="2" t="s">
        <v>468</v>
      </c>
      <c r="D338" s="2" t="s">
        <v>469</v>
      </c>
      <c r="E338" s="2" t="s">
        <v>475</v>
      </c>
      <c r="F338" s="2" t="s">
        <v>98</v>
      </c>
      <c r="G338" s="2" t="s">
        <v>21</v>
      </c>
      <c r="H338" s="2">
        <f>IF(C338="Dynasty Autographs",Calculator!$E$4,IF(C338="Debut Day Inscriptions",Calculator!$E$5,IFERROR(VALUE(SUBSTITUTE(F338,"/","")),0)))</f>
        <v>10</v>
      </c>
      <c r="I338" s="2">
        <f t="shared" si="35"/>
        <v>0</v>
      </c>
      <c r="J338" s="2">
        <f t="shared" si="36"/>
        <v>0</v>
      </c>
      <c r="K338" s="2">
        <f t="shared" si="37"/>
        <v>0</v>
      </c>
      <c r="L338" s="2">
        <f t="shared" si="38"/>
        <v>10</v>
      </c>
      <c r="M338" s="2">
        <f t="shared" si="39"/>
        <v>5</v>
      </c>
      <c r="N338" s="2">
        <f t="shared" si="40"/>
        <v>1</v>
      </c>
      <c r="O338" s="2">
        <f t="shared" si="41"/>
        <v>16</v>
      </c>
    </row>
    <row r="339" spans="1:15" ht="29" x14ac:dyDescent="0.35">
      <c r="A339" s="2" t="s">
        <v>474</v>
      </c>
      <c r="B339" s="2" t="s">
        <v>16</v>
      </c>
      <c r="C339" s="2" t="s">
        <v>468</v>
      </c>
      <c r="D339" s="2" t="s">
        <v>469</v>
      </c>
      <c r="E339" s="2" t="s">
        <v>476</v>
      </c>
      <c r="F339" s="2" t="s">
        <v>98</v>
      </c>
      <c r="G339" s="2" t="s">
        <v>21</v>
      </c>
      <c r="H339" s="2">
        <f>IF(C339="Dynasty Autographs",Calculator!$E$4,IF(C339="Debut Day Inscriptions",Calculator!$E$5,IFERROR(VALUE(SUBSTITUTE(F339,"/","")),0)))</f>
        <v>10</v>
      </c>
      <c r="I339" s="2">
        <f t="shared" si="35"/>
        <v>0</v>
      </c>
      <c r="J339" s="2">
        <f t="shared" si="36"/>
        <v>0</v>
      </c>
      <c r="K339" s="2">
        <f t="shared" si="37"/>
        <v>0</v>
      </c>
      <c r="L339" s="2">
        <f t="shared" si="38"/>
        <v>10</v>
      </c>
      <c r="M339" s="2">
        <f t="shared" si="39"/>
        <v>5</v>
      </c>
      <c r="N339" s="2">
        <f t="shared" si="40"/>
        <v>1</v>
      </c>
      <c r="O339" s="2">
        <f t="shared" si="41"/>
        <v>16</v>
      </c>
    </row>
    <row r="340" spans="1:15" ht="29" x14ac:dyDescent="0.35">
      <c r="A340" s="2" t="s">
        <v>474</v>
      </c>
      <c r="B340" s="2" t="s">
        <v>16</v>
      </c>
      <c r="C340" s="2" t="s">
        <v>468</v>
      </c>
      <c r="D340" s="2" t="s">
        <v>469</v>
      </c>
      <c r="E340" s="2" t="s">
        <v>477</v>
      </c>
      <c r="F340" s="2" t="s">
        <v>98</v>
      </c>
      <c r="G340" s="2" t="s">
        <v>21</v>
      </c>
      <c r="H340" s="2">
        <f>IF(C340="Dynasty Autographs",Calculator!$E$4,IF(C340="Debut Day Inscriptions",Calculator!$E$5,IFERROR(VALUE(SUBSTITUTE(F340,"/","")),0)))</f>
        <v>10</v>
      </c>
      <c r="I340" s="2">
        <f t="shared" si="35"/>
        <v>0</v>
      </c>
      <c r="J340" s="2">
        <f t="shared" si="36"/>
        <v>0</v>
      </c>
      <c r="K340" s="2">
        <f t="shared" si="37"/>
        <v>0</v>
      </c>
      <c r="L340" s="2">
        <f t="shared" si="38"/>
        <v>10</v>
      </c>
      <c r="M340" s="2">
        <f t="shared" si="39"/>
        <v>5</v>
      </c>
      <c r="N340" s="2">
        <f t="shared" si="40"/>
        <v>1</v>
      </c>
      <c r="O340" s="2">
        <f t="shared" si="41"/>
        <v>16</v>
      </c>
    </row>
    <row r="341" spans="1:15" ht="29" x14ac:dyDescent="0.35">
      <c r="A341" s="2" t="s">
        <v>32</v>
      </c>
      <c r="B341" s="2" t="s">
        <v>33</v>
      </c>
      <c r="C341" s="2" t="s">
        <v>468</v>
      </c>
      <c r="D341" s="2" t="s">
        <v>469</v>
      </c>
      <c r="E341" s="2" t="s">
        <v>478</v>
      </c>
      <c r="F341" s="2" t="s">
        <v>98</v>
      </c>
      <c r="G341" s="2" t="s">
        <v>21</v>
      </c>
      <c r="H341" s="2">
        <f>IF(C341="Dynasty Autographs",Calculator!$E$4,IF(C341="Debut Day Inscriptions",Calculator!$E$5,IFERROR(VALUE(SUBSTITUTE(F341,"/","")),0)))</f>
        <v>10</v>
      </c>
      <c r="I341" s="2">
        <f t="shared" si="35"/>
        <v>0</v>
      </c>
      <c r="J341" s="2">
        <f t="shared" si="36"/>
        <v>0</v>
      </c>
      <c r="K341" s="2">
        <f t="shared" si="37"/>
        <v>0</v>
      </c>
      <c r="L341" s="2">
        <f t="shared" si="38"/>
        <v>10</v>
      </c>
      <c r="M341" s="2">
        <f t="shared" si="39"/>
        <v>5</v>
      </c>
      <c r="N341" s="2">
        <f t="shared" si="40"/>
        <v>1</v>
      </c>
      <c r="O341" s="2">
        <f t="shared" si="41"/>
        <v>16</v>
      </c>
    </row>
    <row r="342" spans="1:15" ht="29" x14ac:dyDescent="0.35">
      <c r="A342" s="2" t="s">
        <v>32</v>
      </c>
      <c r="B342" s="2" t="s">
        <v>33</v>
      </c>
      <c r="C342" s="2" t="s">
        <v>468</v>
      </c>
      <c r="D342" s="2" t="s">
        <v>469</v>
      </c>
      <c r="E342" s="2" t="s">
        <v>479</v>
      </c>
      <c r="F342" s="2" t="s">
        <v>98</v>
      </c>
      <c r="G342" s="2" t="s">
        <v>21</v>
      </c>
      <c r="H342" s="2">
        <f>IF(C342="Dynasty Autographs",Calculator!$E$4,IF(C342="Debut Day Inscriptions",Calculator!$E$5,IFERROR(VALUE(SUBSTITUTE(F342,"/","")),0)))</f>
        <v>10</v>
      </c>
      <c r="I342" s="2">
        <f t="shared" si="35"/>
        <v>0</v>
      </c>
      <c r="J342" s="2">
        <f t="shared" si="36"/>
        <v>0</v>
      </c>
      <c r="K342" s="2">
        <f t="shared" si="37"/>
        <v>0</v>
      </c>
      <c r="L342" s="2">
        <f t="shared" si="38"/>
        <v>10</v>
      </c>
      <c r="M342" s="2">
        <f t="shared" si="39"/>
        <v>5</v>
      </c>
      <c r="N342" s="2">
        <f t="shared" si="40"/>
        <v>1</v>
      </c>
      <c r="O342" s="2">
        <f t="shared" si="41"/>
        <v>16</v>
      </c>
    </row>
    <row r="343" spans="1:15" ht="29" x14ac:dyDescent="0.35">
      <c r="A343" s="2" t="s">
        <v>480</v>
      </c>
      <c r="B343" s="2" t="s">
        <v>36</v>
      </c>
      <c r="C343" s="2" t="s">
        <v>468</v>
      </c>
      <c r="D343" s="2" t="s">
        <v>469</v>
      </c>
      <c r="E343" s="2" t="s">
        <v>481</v>
      </c>
      <c r="F343" s="2" t="s">
        <v>98</v>
      </c>
      <c r="G343" s="2" t="s">
        <v>21</v>
      </c>
      <c r="H343" s="2">
        <f>IF(C343="Dynasty Autographs",Calculator!$E$4,IF(C343="Debut Day Inscriptions",Calculator!$E$5,IFERROR(VALUE(SUBSTITUTE(F343,"/","")),0)))</f>
        <v>10</v>
      </c>
      <c r="I343" s="2">
        <f t="shared" si="35"/>
        <v>0</v>
      </c>
      <c r="J343" s="2">
        <f t="shared" si="36"/>
        <v>0</v>
      </c>
      <c r="K343" s="2">
        <f t="shared" si="37"/>
        <v>0</v>
      </c>
      <c r="L343" s="2">
        <f t="shared" si="38"/>
        <v>10</v>
      </c>
      <c r="M343" s="2">
        <f t="shared" si="39"/>
        <v>5</v>
      </c>
      <c r="N343" s="2">
        <f t="shared" si="40"/>
        <v>1</v>
      </c>
      <c r="O343" s="2">
        <f t="shared" si="41"/>
        <v>16</v>
      </c>
    </row>
    <row r="344" spans="1:15" ht="29" x14ac:dyDescent="0.35">
      <c r="A344" s="2" t="s">
        <v>480</v>
      </c>
      <c r="B344" s="2" t="s">
        <v>36</v>
      </c>
      <c r="C344" s="2" t="s">
        <v>468</v>
      </c>
      <c r="D344" s="2" t="s">
        <v>469</v>
      </c>
      <c r="E344" s="2" t="s">
        <v>482</v>
      </c>
      <c r="F344" s="2" t="s">
        <v>98</v>
      </c>
      <c r="G344" s="2" t="s">
        <v>21</v>
      </c>
      <c r="H344" s="2">
        <f>IF(C344="Dynasty Autographs",Calculator!$E$4,IF(C344="Debut Day Inscriptions",Calculator!$E$5,IFERROR(VALUE(SUBSTITUTE(F344,"/","")),0)))</f>
        <v>10</v>
      </c>
      <c r="I344" s="2">
        <f t="shared" si="35"/>
        <v>0</v>
      </c>
      <c r="J344" s="2">
        <f t="shared" si="36"/>
        <v>0</v>
      </c>
      <c r="K344" s="2">
        <f t="shared" si="37"/>
        <v>0</v>
      </c>
      <c r="L344" s="2">
        <f t="shared" si="38"/>
        <v>10</v>
      </c>
      <c r="M344" s="2">
        <f t="shared" si="39"/>
        <v>5</v>
      </c>
      <c r="N344" s="2">
        <f t="shared" si="40"/>
        <v>1</v>
      </c>
      <c r="O344" s="2">
        <f t="shared" si="41"/>
        <v>16</v>
      </c>
    </row>
    <row r="345" spans="1:15" ht="29" x14ac:dyDescent="0.35">
      <c r="A345" s="2" t="s">
        <v>480</v>
      </c>
      <c r="B345" s="2" t="s">
        <v>36</v>
      </c>
      <c r="C345" s="2" t="s">
        <v>468</v>
      </c>
      <c r="D345" s="2" t="s">
        <v>469</v>
      </c>
      <c r="E345" s="2" t="s">
        <v>483</v>
      </c>
      <c r="F345" s="2" t="s">
        <v>98</v>
      </c>
      <c r="G345" s="2" t="s">
        <v>21</v>
      </c>
      <c r="H345" s="2">
        <f>IF(C345="Dynasty Autographs",Calculator!$E$4,IF(C345="Debut Day Inscriptions",Calculator!$E$5,IFERROR(VALUE(SUBSTITUTE(F345,"/","")),0)))</f>
        <v>10</v>
      </c>
      <c r="I345" s="2">
        <f t="shared" si="35"/>
        <v>0</v>
      </c>
      <c r="J345" s="2">
        <f t="shared" si="36"/>
        <v>0</v>
      </c>
      <c r="K345" s="2">
        <f t="shared" si="37"/>
        <v>0</v>
      </c>
      <c r="L345" s="2">
        <f t="shared" si="38"/>
        <v>10</v>
      </c>
      <c r="M345" s="2">
        <f t="shared" si="39"/>
        <v>5</v>
      </c>
      <c r="N345" s="2">
        <f t="shared" si="40"/>
        <v>1</v>
      </c>
      <c r="O345" s="2">
        <f t="shared" si="41"/>
        <v>16</v>
      </c>
    </row>
    <row r="346" spans="1:15" ht="29" x14ac:dyDescent="0.35">
      <c r="A346" s="2" t="s">
        <v>484</v>
      </c>
      <c r="B346" s="2" t="s">
        <v>23</v>
      </c>
      <c r="C346" s="2" t="s">
        <v>468</v>
      </c>
      <c r="D346" s="2" t="s">
        <v>469</v>
      </c>
      <c r="E346" s="2" t="s">
        <v>485</v>
      </c>
      <c r="F346" s="2" t="s">
        <v>98</v>
      </c>
      <c r="G346" s="2" t="s">
        <v>21</v>
      </c>
      <c r="H346" s="2">
        <f>IF(C346="Dynasty Autographs",Calculator!$E$4,IF(C346="Debut Day Inscriptions",Calculator!$E$5,IFERROR(VALUE(SUBSTITUTE(F346,"/","")),0)))</f>
        <v>10</v>
      </c>
      <c r="I346" s="2">
        <f t="shared" si="35"/>
        <v>0</v>
      </c>
      <c r="J346" s="2">
        <f t="shared" si="36"/>
        <v>0</v>
      </c>
      <c r="K346" s="2">
        <f t="shared" si="37"/>
        <v>0</v>
      </c>
      <c r="L346" s="2">
        <f t="shared" si="38"/>
        <v>10</v>
      </c>
      <c r="M346" s="2">
        <f t="shared" si="39"/>
        <v>5</v>
      </c>
      <c r="N346" s="2">
        <f t="shared" si="40"/>
        <v>1</v>
      </c>
      <c r="O346" s="2">
        <f t="shared" si="41"/>
        <v>16</v>
      </c>
    </row>
    <row r="347" spans="1:15" ht="29" x14ac:dyDescent="0.35">
      <c r="A347" s="2" t="s">
        <v>484</v>
      </c>
      <c r="B347" s="2" t="s">
        <v>23</v>
      </c>
      <c r="C347" s="2" t="s">
        <v>468</v>
      </c>
      <c r="D347" s="2" t="s">
        <v>469</v>
      </c>
      <c r="E347" s="2" t="s">
        <v>486</v>
      </c>
      <c r="F347" s="2" t="s">
        <v>98</v>
      </c>
      <c r="G347" s="2" t="s">
        <v>21</v>
      </c>
      <c r="H347" s="2">
        <f>IF(C347="Dynasty Autographs",Calculator!$E$4,IF(C347="Debut Day Inscriptions",Calculator!$E$5,IFERROR(VALUE(SUBSTITUTE(F347,"/","")),0)))</f>
        <v>10</v>
      </c>
      <c r="I347" s="2">
        <f t="shared" si="35"/>
        <v>0</v>
      </c>
      <c r="J347" s="2">
        <f t="shared" si="36"/>
        <v>0</v>
      </c>
      <c r="K347" s="2">
        <f t="shared" si="37"/>
        <v>0</v>
      </c>
      <c r="L347" s="2">
        <f t="shared" si="38"/>
        <v>10</v>
      </c>
      <c r="M347" s="2">
        <f t="shared" si="39"/>
        <v>5</v>
      </c>
      <c r="N347" s="2">
        <f t="shared" si="40"/>
        <v>1</v>
      </c>
      <c r="O347" s="2">
        <f t="shared" si="41"/>
        <v>16</v>
      </c>
    </row>
    <row r="348" spans="1:15" ht="29" x14ac:dyDescent="0.35">
      <c r="A348" s="2" t="s">
        <v>105</v>
      </c>
      <c r="B348" s="2" t="s">
        <v>36</v>
      </c>
      <c r="C348" s="2" t="s">
        <v>468</v>
      </c>
      <c r="D348" s="2" t="s">
        <v>469</v>
      </c>
      <c r="E348" s="2" t="s">
        <v>487</v>
      </c>
      <c r="F348" s="2" t="s">
        <v>98</v>
      </c>
      <c r="G348" s="2" t="s">
        <v>21</v>
      </c>
      <c r="H348" s="2">
        <f>IF(C348="Dynasty Autographs",Calculator!$E$4,IF(C348="Debut Day Inscriptions",Calculator!$E$5,IFERROR(VALUE(SUBSTITUTE(F348,"/","")),0)))</f>
        <v>10</v>
      </c>
      <c r="I348" s="2">
        <f t="shared" si="35"/>
        <v>0</v>
      </c>
      <c r="J348" s="2">
        <f t="shared" si="36"/>
        <v>0</v>
      </c>
      <c r="K348" s="2">
        <f t="shared" si="37"/>
        <v>0</v>
      </c>
      <c r="L348" s="2">
        <f t="shared" si="38"/>
        <v>10</v>
      </c>
      <c r="M348" s="2">
        <f t="shared" si="39"/>
        <v>5</v>
      </c>
      <c r="N348" s="2">
        <f t="shared" si="40"/>
        <v>1</v>
      </c>
      <c r="O348" s="2">
        <f t="shared" si="41"/>
        <v>16</v>
      </c>
    </row>
    <row r="349" spans="1:15" ht="29" x14ac:dyDescent="0.35">
      <c r="A349" s="2" t="s">
        <v>105</v>
      </c>
      <c r="B349" s="2" t="s">
        <v>36</v>
      </c>
      <c r="C349" s="2" t="s">
        <v>468</v>
      </c>
      <c r="D349" s="2" t="s">
        <v>469</v>
      </c>
      <c r="E349" s="2" t="s">
        <v>488</v>
      </c>
      <c r="F349" s="2" t="s">
        <v>98</v>
      </c>
      <c r="G349" s="2" t="s">
        <v>21</v>
      </c>
      <c r="H349" s="2">
        <f>IF(C349="Dynasty Autographs",Calculator!$E$4,IF(C349="Debut Day Inscriptions",Calculator!$E$5,IFERROR(VALUE(SUBSTITUTE(F349,"/","")),0)))</f>
        <v>10</v>
      </c>
      <c r="I349" s="2">
        <f t="shared" si="35"/>
        <v>0</v>
      </c>
      <c r="J349" s="2">
        <f t="shared" si="36"/>
        <v>0</v>
      </c>
      <c r="K349" s="2">
        <f t="shared" si="37"/>
        <v>0</v>
      </c>
      <c r="L349" s="2">
        <f t="shared" si="38"/>
        <v>10</v>
      </c>
      <c r="M349" s="2">
        <f t="shared" si="39"/>
        <v>5</v>
      </c>
      <c r="N349" s="2">
        <f t="shared" si="40"/>
        <v>1</v>
      </c>
      <c r="O349" s="2">
        <f t="shared" si="41"/>
        <v>16</v>
      </c>
    </row>
    <row r="350" spans="1:15" ht="29" x14ac:dyDescent="0.35">
      <c r="A350" s="2" t="s">
        <v>105</v>
      </c>
      <c r="B350" s="2" t="s">
        <v>36</v>
      </c>
      <c r="C350" s="2" t="s">
        <v>468</v>
      </c>
      <c r="D350" s="2" t="s">
        <v>469</v>
      </c>
      <c r="E350" s="2" t="s">
        <v>489</v>
      </c>
      <c r="F350" s="2" t="s">
        <v>98</v>
      </c>
      <c r="G350" s="2" t="s">
        <v>21</v>
      </c>
      <c r="H350" s="2">
        <f>IF(C350="Dynasty Autographs",Calculator!$E$4,IF(C350="Debut Day Inscriptions",Calculator!$E$5,IFERROR(VALUE(SUBSTITUTE(F350,"/","")),0)))</f>
        <v>10</v>
      </c>
      <c r="I350" s="2">
        <f t="shared" si="35"/>
        <v>0</v>
      </c>
      <c r="J350" s="2">
        <f t="shared" si="36"/>
        <v>0</v>
      </c>
      <c r="K350" s="2">
        <f t="shared" si="37"/>
        <v>0</v>
      </c>
      <c r="L350" s="2">
        <f t="shared" si="38"/>
        <v>10</v>
      </c>
      <c r="M350" s="2">
        <f t="shared" si="39"/>
        <v>5</v>
      </c>
      <c r="N350" s="2">
        <f t="shared" si="40"/>
        <v>1</v>
      </c>
      <c r="O350" s="2">
        <f t="shared" si="41"/>
        <v>16</v>
      </c>
    </row>
    <row r="351" spans="1:15" ht="29" x14ac:dyDescent="0.35">
      <c r="A351" s="2" t="s">
        <v>105</v>
      </c>
      <c r="B351" s="2" t="s">
        <v>36</v>
      </c>
      <c r="C351" s="2" t="s">
        <v>468</v>
      </c>
      <c r="D351" s="2" t="s">
        <v>469</v>
      </c>
      <c r="E351" s="2" t="s">
        <v>490</v>
      </c>
      <c r="F351" s="2" t="s">
        <v>98</v>
      </c>
      <c r="G351" s="2" t="s">
        <v>21</v>
      </c>
      <c r="H351" s="2">
        <f>IF(C351="Dynasty Autographs",Calculator!$E$4,IF(C351="Debut Day Inscriptions",Calculator!$E$5,IFERROR(VALUE(SUBSTITUTE(F351,"/","")),0)))</f>
        <v>10</v>
      </c>
      <c r="I351" s="2">
        <f t="shared" si="35"/>
        <v>0</v>
      </c>
      <c r="J351" s="2">
        <f t="shared" si="36"/>
        <v>0</v>
      </c>
      <c r="K351" s="2">
        <f t="shared" si="37"/>
        <v>0</v>
      </c>
      <c r="L351" s="2">
        <f t="shared" si="38"/>
        <v>10</v>
      </c>
      <c r="M351" s="2">
        <f t="shared" si="39"/>
        <v>5</v>
      </c>
      <c r="N351" s="2">
        <f t="shared" si="40"/>
        <v>1</v>
      </c>
      <c r="O351" s="2">
        <f t="shared" si="41"/>
        <v>16</v>
      </c>
    </row>
    <row r="352" spans="1:15" ht="29" x14ac:dyDescent="0.35">
      <c r="A352" s="2" t="s">
        <v>107</v>
      </c>
      <c r="B352" s="2" t="s">
        <v>42</v>
      </c>
      <c r="C352" s="2" t="s">
        <v>468</v>
      </c>
      <c r="D352" s="2" t="s">
        <v>469</v>
      </c>
      <c r="E352" s="2" t="s">
        <v>491</v>
      </c>
      <c r="F352" s="2" t="s">
        <v>98</v>
      </c>
      <c r="G352" s="2" t="s">
        <v>21</v>
      </c>
      <c r="H352" s="2">
        <f>IF(C352="Dynasty Autographs",Calculator!$E$4,IF(C352="Debut Day Inscriptions",Calculator!$E$5,IFERROR(VALUE(SUBSTITUTE(F352,"/","")),0)))</f>
        <v>10</v>
      </c>
      <c r="I352" s="2">
        <f t="shared" si="35"/>
        <v>0</v>
      </c>
      <c r="J352" s="2">
        <f t="shared" si="36"/>
        <v>0</v>
      </c>
      <c r="K352" s="2">
        <f t="shared" si="37"/>
        <v>0</v>
      </c>
      <c r="L352" s="2">
        <f t="shared" si="38"/>
        <v>10</v>
      </c>
      <c r="M352" s="2">
        <f t="shared" si="39"/>
        <v>5</v>
      </c>
      <c r="N352" s="2">
        <f t="shared" si="40"/>
        <v>1</v>
      </c>
      <c r="O352" s="2">
        <f t="shared" si="41"/>
        <v>16</v>
      </c>
    </row>
    <row r="353" spans="1:15" ht="29" x14ac:dyDescent="0.35">
      <c r="A353" s="2" t="s">
        <v>107</v>
      </c>
      <c r="B353" s="2" t="s">
        <v>42</v>
      </c>
      <c r="C353" s="2" t="s">
        <v>468</v>
      </c>
      <c r="D353" s="2" t="s">
        <v>469</v>
      </c>
      <c r="E353" s="2" t="s">
        <v>492</v>
      </c>
      <c r="F353" s="2" t="s">
        <v>98</v>
      </c>
      <c r="G353" s="2" t="s">
        <v>21</v>
      </c>
      <c r="H353" s="2">
        <f>IF(C353="Dynasty Autographs",Calculator!$E$4,IF(C353="Debut Day Inscriptions",Calculator!$E$5,IFERROR(VALUE(SUBSTITUTE(F353,"/","")),0)))</f>
        <v>10</v>
      </c>
      <c r="I353" s="2">
        <f t="shared" si="35"/>
        <v>0</v>
      </c>
      <c r="J353" s="2">
        <f t="shared" si="36"/>
        <v>0</v>
      </c>
      <c r="K353" s="2">
        <f t="shared" si="37"/>
        <v>0</v>
      </c>
      <c r="L353" s="2">
        <f t="shared" si="38"/>
        <v>10</v>
      </c>
      <c r="M353" s="2">
        <f t="shared" si="39"/>
        <v>5</v>
      </c>
      <c r="N353" s="2">
        <f t="shared" si="40"/>
        <v>1</v>
      </c>
      <c r="O353" s="2">
        <f t="shared" si="41"/>
        <v>16</v>
      </c>
    </row>
    <row r="354" spans="1:15" ht="29" x14ac:dyDescent="0.35">
      <c r="A354" s="2" t="s">
        <v>107</v>
      </c>
      <c r="B354" s="2" t="s">
        <v>42</v>
      </c>
      <c r="C354" s="2" t="s">
        <v>468</v>
      </c>
      <c r="D354" s="2" t="s">
        <v>469</v>
      </c>
      <c r="E354" s="2" t="s">
        <v>493</v>
      </c>
      <c r="F354" s="2" t="s">
        <v>98</v>
      </c>
      <c r="G354" s="2" t="s">
        <v>21</v>
      </c>
      <c r="H354" s="2">
        <f>IF(C354="Dynasty Autographs",Calculator!$E$4,IF(C354="Debut Day Inscriptions",Calculator!$E$5,IFERROR(VALUE(SUBSTITUTE(F354,"/","")),0)))</f>
        <v>10</v>
      </c>
      <c r="I354" s="2">
        <f t="shared" si="35"/>
        <v>0</v>
      </c>
      <c r="J354" s="2">
        <f t="shared" si="36"/>
        <v>0</v>
      </c>
      <c r="K354" s="2">
        <f t="shared" si="37"/>
        <v>0</v>
      </c>
      <c r="L354" s="2">
        <f t="shared" si="38"/>
        <v>10</v>
      </c>
      <c r="M354" s="2">
        <f t="shared" si="39"/>
        <v>5</v>
      </c>
      <c r="N354" s="2">
        <f t="shared" si="40"/>
        <v>1</v>
      </c>
      <c r="O354" s="2">
        <f t="shared" si="41"/>
        <v>16</v>
      </c>
    </row>
    <row r="355" spans="1:15" ht="29" x14ac:dyDescent="0.35">
      <c r="A355" s="2" t="s">
        <v>494</v>
      </c>
      <c r="B355" s="2" t="s">
        <v>16</v>
      </c>
      <c r="C355" s="2" t="s">
        <v>468</v>
      </c>
      <c r="D355" s="2" t="s">
        <v>469</v>
      </c>
      <c r="E355" s="2" t="s">
        <v>495</v>
      </c>
      <c r="F355" s="2" t="s">
        <v>98</v>
      </c>
      <c r="G355" s="2" t="s">
        <v>21</v>
      </c>
      <c r="H355" s="2">
        <f>IF(C355="Dynasty Autographs",Calculator!$E$4,IF(C355="Debut Day Inscriptions",Calculator!$E$5,IFERROR(VALUE(SUBSTITUTE(F355,"/","")),0)))</f>
        <v>10</v>
      </c>
      <c r="I355" s="2">
        <f t="shared" si="35"/>
        <v>0</v>
      </c>
      <c r="J355" s="2">
        <f t="shared" si="36"/>
        <v>0</v>
      </c>
      <c r="K355" s="2">
        <f t="shared" si="37"/>
        <v>0</v>
      </c>
      <c r="L355" s="2">
        <f t="shared" si="38"/>
        <v>10</v>
      </c>
      <c r="M355" s="2">
        <f t="shared" si="39"/>
        <v>5</v>
      </c>
      <c r="N355" s="2">
        <f t="shared" si="40"/>
        <v>1</v>
      </c>
      <c r="O355" s="2">
        <f t="shared" si="41"/>
        <v>16</v>
      </c>
    </row>
    <row r="356" spans="1:15" ht="29" x14ac:dyDescent="0.35">
      <c r="A356" s="2" t="s">
        <v>494</v>
      </c>
      <c r="B356" s="2" t="s">
        <v>16</v>
      </c>
      <c r="C356" s="2" t="s">
        <v>468</v>
      </c>
      <c r="D356" s="2" t="s">
        <v>469</v>
      </c>
      <c r="E356" s="2" t="s">
        <v>496</v>
      </c>
      <c r="F356" s="2" t="s">
        <v>98</v>
      </c>
      <c r="G356" s="2" t="s">
        <v>21</v>
      </c>
      <c r="H356" s="2">
        <f>IF(C356="Dynasty Autographs",Calculator!$E$4,IF(C356="Debut Day Inscriptions",Calculator!$E$5,IFERROR(VALUE(SUBSTITUTE(F356,"/","")),0)))</f>
        <v>10</v>
      </c>
      <c r="I356" s="2">
        <f t="shared" si="35"/>
        <v>0</v>
      </c>
      <c r="J356" s="2">
        <f t="shared" si="36"/>
        <v>0</v>
      </c>
      <c r="K356" s="2">
        <f t="shared" si="37"/>
        <v>0</v>
      </c>
      <c r="L356" s="2">
        <f t="shared" si="38"/>
        <v>10</v>
      </c>
      <c r="M356" s="2">
        <f t="shared" si="39"/>
        <v>5</v>
      </c>
      <c r="N356" s="2">
        <f t="shared" si="40"/>
        <v>1</v>
      </c>
      <c r="O356" s="2">
        <f t="shared" si="41"/>
        <v>16</v>
      </c>
    </row>
    <row r="357" spans="1:15" ht="29" x14ac:dyDescent="0.35">
      <c r="A357" s="2" t="s">
        <v>494</v>
      </c>
      <c r="B357" s="2" t="s">
        <v>16</v>
      </c>
      <c r="C357" s="2" t="s">
        <v>468</v>
      </c>
      <c r="D357" s="2" t="s">
        <v>469</v>
      </c>
      <c r="E357" s="2" t="s">
        <v>497</v>
      </c>
      <c r="F357" s="2" t="s">
        <v>98</v>
      </c>
      <c r="G357" s="2" t="s">
        <v>21</v>
      </c>
      <c r="H357" s="2">
        <f>IF(C357="Dynasty Autographs",Calculator!$E$4,IF(C357="Debut Day Inscriptions",Calculator!$E$5,IFERROR(VALUE(SUBSTITUTE(F357,"/","")),0)))</f>
        <v>10</v>
      </c>
      <c r="I357" s="2">
        <f t="shared" si="35"/>
        <v>0</v>
      </c>
      <c r="J357" s="2">
        <f t="shared" si="36"/>
        <v>0</v>
      </c>
      <c r="K357" s="2">
        <f t="shared" si="37"/>
        <v>0</v>
      </c>
      <c r="L357" s="2">
        <f t="shared" si="38"/>
        <v>10</v>
      </c>
      <c r="M357" s="2">
        <f t="shared" si="39"/>
        <v>5</v>
      </c>
      <c r="N357" s="2">
        <f t="shared" si="40"/>
        <v>1</v>
      </c>
      <c r="O357" s="2">
        <f t="shared" si="41"/>
        <v>16</v>
      </c>
    </row>
    <row r="358" spans="1:15" ht="29" x14ac:dyDescent="0.35">
      <c r="A358" s="2" t="s">
        <v>309</v>
      </c>
      <c r="B358" s="2" t="s">
        <v>87</v>
      </c>
      <c r="C358" s="2" t="s">
        <v>468</v>
      </c>
      <c r="D358" s="2" t="s">
        <v>469</v>
      </c>
      <c r="E358" s="2" t="s">
        <v>498</v>
      </c>
      <c r="F358" s="2" t="s">
        <v>98</v>
      </c>
      <c r="G358" s="2" t="s">
        <v>21</v>
      </c>
      <c r="H358" s="2">
        <f>IF(C358="Dynasty Autographs",Calculator!$E$4,IF(C358="Debut Day Inscriptions",Calculator!$E$5,IFERROR(VALUE(SUBSTITUTE(F358,"/","")),0)))</f>
        <v>10</v>
      </c>
      <c r="I358" s="2">
        <f t="shared" si="35"/>
        <v>0</v>
      </c>
      <c r="J358" s="2">
        <f t="shared" si="36"/>
        <v>0</v>
      </c>
      <c r="K358" s="2">
        <f t="shared" si="37"/>
        <v>0</v>
      </c>
      <c r="L358" s="2">
        <f t="shared" si="38"/>
        <v>10</v>
      </c>
      <c r="M358" s="2">
        <f t="shared" si="39"/>
        <v>5</v>
      </c>
      <c r="N358" s="2">
        <f t="shared" si="40"/>
        <v>1</v>
      </c>
      <c r="O358" s="2">
        <f t="shared" si="41"/>
        <v>16</v>
      </c>
    </row>
    <row r="359" spans="1:15" ht="29" x14ac:dyDescent="0.35">
      <c r="A359" s="2" t="s">
        <v>309</v>
      </c>
      <c r="B359" s="2" t="s">
        <v>87</v>
      </c>
      <c r="C359" s="2" t="s">
        <v>468</v>
      </c>
      <c r="D359" s="2" t="s">
        <v>469</v>
      </c>
      <c r="E359" s="2" t="s">
        <v>499</v>
      </c>
      <c r="F359" s="2" t="s">
        <v>98</v>
      </c>
      <c r="G359" s="2" t="s">
        <v>21</v>
      </c>
      <c r="H359" s="2">
        <f>IF(C359="Dynasty Autographs",Calculator!$E$4,IF(C359="Debut Day Inscriptions",Calculator!$E$5,IFERROR(VALUE(SUBSTITUTE(F359,"/","")),0)))</f>
        <v>10</v>
      </c>
      <c r="I359" s="2">
        <f t="shared" si="35"/>
        <v>0</v>
      </c>
      <c r="J359" s="2">
        <f t="shared" si="36"/>
        <v>0</v>
      </c>
      <c r="K359" s="2">
        <f t="shared" si="37"/>
        <v>0</v>
      </c>
      <c r="L359" s="2">
        <f t="shared" si="38"/>
        <v>10</v>
      </c>
      <c r="M359" s="2">
        <f t="shared" si="39"/>
        <v>5</v>
      </c>
      <c r="N359" s="2">
        <f t="shared" si="40"/>
        <v>1</v>
      </c>
      <c r="O359" s="2">
        <f t="shared" si="41"/>
        <v>16</v>
      </c>
    </row>
    <row r="360" spans="1:15" ht="29" x14ac:dyDescent="0.35">
      <c r="A360" s="2" t="s">
        <v>309</v>
      </c>
      <c r="B360" s="2" t="s">
        <v>87</v>
      </c>
      <c r="C360" s="2" t="s">
        <v>468</v>
      </c>
      <c r="D360" s="2" t="s">
        <v>469</v>
      </c>
      <c r="E360" s="2" t="s">
        <v>500</v>
      </c>
      <c r="F360" s="2" t="s">
        <v>98</v>
      </c>
      <c r="G360" s="2" t="s">
        <v>21</v>
      </c>
      <c r="H360" s="2">
        <f>IF(C360="Dynasty Autographs",Calculator!$E$4,IF(C360="Debut Day Inscriptions",Calculator!$E$5,IFERROR(VALUE(SUBSTITUTE(F360,"/","")),0)))</f>
        <v>10</v>
      </c>
      <c r="I360" s="2">
        <f t="shared" si="35"/>
        <v>0</v>
      </c>
      <c r="J360" s="2">
        <f t="shared" si="36"/>
        <v>0</v>
      </c>
      <c r="K360" s="2">
        <f t="shared" si="37"/>
        <v>0</v>
      </c>
      <c r="L360" s="2">
        <f t="shared" si="38"/>
        <v>10</v>
      </c>
      <c r="M360" s="2">
        <f t="shared" si="39"/>
        <v>5</v>
      </c>
      <c r="N360" s="2">
        <f t="shared" si="40"/>
        <v>1</v>
      </c>
      <c r="O360" s="2">
        <f t="shared" si="41"/>
        <v>16</v>
      </c>
    </row>
    <row r="361" spans="1:15" ht="29" x14ac:dyDescent="0.35">
      <c r="A361" s="2" t="s">
        <v>501</v>
      </c>
      <c r="B361" s="2" t="s">
        <v>16</v>
      </c>
      <c r="C361" s="2" t="s">
        <v>468</v>
      </c>
      <c r="D361" s="2" t="s">
        <v>469</v>
      </c>
      <c r="E361" s="2" t="s">
        <v>502</v>
      </c>
      <c r="F361" s="2" t="s">
        <v>98</v>
      </c>
      <c r="G361" s="2" t="s">
        <v>21</v>
      </c>
      <c r="H361" s="2">
        <f>IF(C361="Dynasty Autographs",Calculator!$E$4,IF(C361="Debut Day Inscriptions",Calculator!$E$5,IFERROR(VALUE(SUBSTITUTE(F361,"/","")),0)))</f>
        <v>10</v>
      </c>
      <c r="I361" s="2">
        <f t="shared" si="35"/>
        <v>0</v>
      </c>
      <c r="J361" s="2">
        <f t="shared" si="36"/>
        <v>0</v>
      </c>
      <c r="K361" s="2">
        <f t="shared" si="37"/>
        <v>0</v>
      </c>
      <c r="L361" s="2">
        <f t="shared" si="38"/>
        <v>10</v>
      </c>
      <c r="M361" s="2">
        <f t="shared" si="39"/>
        <v>5</v>
      </c>
      <c r="N361" s="2">
        <f t="shared" si="40"/>
        <v>1</v>
      </c>
      <c r="O361" s="2">
        <f t="shared" si="41"/>
        <v>16</v>
      </c>
    </row>
    <row r="362" spans="1:15" ht="29" x14ac:dyDescent="0.35">
      <c r="A362" s="2" t="s">
        <v>501</v>
      </c>
      <c r="B362" s="2" t="s">
        <v>16</v>
      </c>
      <c r="C362" s="2" t="s">
        <v>468</v>
      </c>
      <c r="D362" s="2" t="s">
        <v>469</v>
      </c>
      <c r="E362" s="2" t="s">
        <v>503</v>
      </c>
      <c r="F362" s="2" t="s">
        <v>98</v>
      </c>
      <c r="G362" s="2" t="s">
        <v>21</v>
      </c>
      <c r="H362" s="2">
        <f>IF(C362="Dynasty Autographs",Calculator!$E$4,IF(C362="Debut Day Inscriptions",Calculator!$E$5,IFERROR(VALUE(SUBSTITUTE(F362,"/","")),0)))</f>
        <v>10</v>
      </c>
      <c r="I362" s="2">
        <f t="shared" si="35"/>
        <v>0</v>
      </c>
      <c r="J362" s="2">
        <f t="shared" si="36"/>
        <v>0</v>
      </c>
      <c r="K362" s="2">
        <f t="shared" si="37"/>
        <v>0</v>
      </c>
      <c r="L362" s="2">
        <f t="shared" si="38"/>
        <v>10</v>
      </c>
      <c r="M362" s="2">
        <f t="shared" si="39"/>
        <v>5</v>
      </c>
      <c r="N362" s="2">
        <f t="shared" si="40"/>
        <v>1</v>
      </c>
      <c r="O362" s="2">
        <f t="shared" si="41"/>
        <v>16</v>
      </c>
    </row>
    <row r="363" spans="1:15" ht="29" x14ac:dyDescent="0.35">
      <c r="A363" s="2" t="s">
        <v>501</v>
      </c>
      <c r="B363" s="2" t="s">
        <v>16</v>
      </c>
      <c r="C363" s="2" t="s">
        <v>468</v>
      </c>
      <c r="D363" s="2" t="s">
        <v>469</v>
      </c>
      <c r="E363" s="2" t="s">
        <v>504</v>
      </c>
      <c r="F363" s="2" t="s">
        <v>98</v>
      </c>
      <c r="G363" s="2" t="s">
        <v>21</v>
      </c>
      <c r="H363" s="2">
        <f>IF(C363="Dynasty Autographs",Calculator!$E$4,IF(C363="Debut Day Inscriptions",Calculator!$E$5,IFERROR(VALUE(SUBSTITUTE(F363,"/","")),0)))</f>
        <v>10</v>
      </c>
      <c r="I363" s="2">
        <f t="shared" si="35"/>
        <v>0</v>
      </c>
      <c r="J363" s="2">
        <f t="shared" si="36"/>
        <v>0</v>
      </c>
      <c r="K363" s="2">
        <f t="shared" si="37"/>
        <v>0</v>
      </c>
      <c r="L363" s="2">
        <f t="shared" si="38"/>
        <v>10</v>
      </c>
      <c r="M363" s="2">
        <f t="shared" si="39"/>
        <v>5</v>
      </c>
      <c r="N363" s="2">
        <f t="shared" si="40"/>
        <v>1</v>
      </c>
      <c r="O363" s="2">
        <f t="shared" si="41"/>
        <v>16</v>
      </c>
    </row>
    <row r="364" spans="1:15" ht="29" x14ac:dyDescent="0.35">
      <c r="A364" s="2" t="s">
        <v>505</v>
      </c>
      <c r="B364" s="2" t="s">
        <v>33</v>
      </c>
      <c r="C364" s="2" t="s">
        <v>468</v>
      </c>
      <c r="D364" s="2" t="s">
        <v>469</v>
      </c>
      <c r="E364" s="2" t="s">
        <v>506</v>
      </c>
      <c r="F364" s="2" t="s">
        <v>98</v>
      </c>
      <c r="G364" s="2" t="s">
        <v>21</v>
      </c>
      <c r="H364" s="2">
        <f>IF(C364="Dynasty Autographs",Calculator!$E$4,IF(C364="Debut Day Inscriptions",Calculator!$E$5,IFERROR(VALUE(SUBSTITUTE(F364,"/","")),0)))</f>
        <v>10</v>
      </c>
      <c r="I364" s="2">
        <f t="shared" si="35"/>
        <v>0</v>
      </c>
      <c r="J364" s="2">
        <f t="shared" si="36"/>
        <v>0</v>
      </c>
      <c r="K364" s="2">
        <f t="shared" si="37"/>
        <v>0</v>
      </c>
      <c r="L364" s="2">
        <f t="shared" si="38"/>
        <v>10</v>
      </c>
      <c r="M364" s="2">
        <f t="shared" si="39"/>
        <v>5</v>
      </c>
      <c r="N364" s="2">
        <f t="shared" si="40"/>
        <v>1</v>
      </c>
      <c r="O364" s="2">
        <f t="shared" si="41"/>
        <v>16</v>
      </c>
    </row>
    <row r="365" spans="1:15" ht="29" x14ac:dyDescent="0.35">
      <c r="A365" s="2" t="s">
        <v>505</v>
      </c>
      <c r="B365" s="2" t="s">
        <v>33</v>
      </c>
      <c r="C365" s="2" t="s">
        <v>468</v>
      </c>
      <c r="D365" s="2" t="s">
        <v>469</v>
      </c>
      <c r="E365" s="2" t="s">
        <v>507</v>
      </c>
      <c r="F365" s="2" t="s">
        <v>98</v>
      </c>
      <c r="G365" s="2" t="s">
        <v>21</v>
      </c>
      <c r="H365" s="2">
        <f>IF(C365="Dynasty Autographs",Calculator!$E$4,IF(C365="Debut Day Inscriptions",Calculator!$E$5,IFERROR(VALUE(SUBSTITUTE(F365,"/","")),0)))</f>
        <v>10</v>
      </c>
      <c r="I365" s="2">
        <f t="shared" si="35"/>
        <v>0</v>
      </c>
      <c r="J365" s="2">
        <f t="shared" si="36"/>
        <v>0</v>
      </c>
      <c r="K365" s="2">
        <f t="shared" si="37"/>
        <v>0</v>
      </c>
      <c r="L365" s="2">
        <f t="shared" si="38"/>
        <v>10</v>
      </c>
      <c r="M365" s="2">
        <f t="shared" si="39"/>
        <v>5</v>
      </c>
      <c r="N365" s="2">
        <f t="shared" si="40"/>
        <v>1</v>
      </c>
      <c r="O365" s="2">
        <f t="shared" si="41"/>
        <v>16</v>
      </c>
    </row>
    <row r="366" spans="1:15" ht="29" x14ac:dyDescent="0.35">
      <c r="A366" s="2" t="s">
        <v>508</v>
      </c>
      <c r="B366" s="2" t="s">
        <v>509</v>
      </c>
      <c r="C366" s="2" t="s">
        <v>468</v>
      </c>
      <c r="D366" s="2" t="s">
        <v>469</v>
      </c>
      <c r="E366" s="2" t="s">
        <v>510</v>
      </c>
      <c r="F366" s="2" t="s">
        <v>98</v>
      </c>
      <c r="G366" s="2" t="s">
        <v>21</v>
      </c>
      <c r="H366" s="2">
        <f>IF(C366="Dynasty Autographs",Calculator!$E$4,IF(C366="Debut Day Inscriptions",Calculator!$E$5,IFERROR(VALUE(SUBSTITUTE(F366,"/","")),0)))</f>
        <v>10</v>
      </c>
      <c r="I366" s="2">
        <f t="shared" si="35"/>
        <v>0</v>
      </c>
      <c r="J366" s="2">
        <f t="shared" si="36"/>
        <v>0</v>
      </c>
      <c r="K366" s="2">
        <f t="shared" si="37"/>
        <v>0</v>
      </c>
      <c r="L366" s="2">
        <f t="shared" si="38"/>
        <v>10</v>
      </c>
      <c r="M366" s="2">
        <f t="shared" si="39"/>
        <v>5</v>
      </c>
      <c r="N366" s="2">
        <f t="shared" si="40"/>
        <v>1</v>
      </c>
      <c r="O366" s="2">
        <f t="shared" si="41"/>
        <v>16</v>
      </c>
    </row>
    <row r="367" spans="1:15" ht="29" x14ac:dyDescent="0.35">
      <c r="A367" s="2" t="s">
        <v>508</v>
      </c>
      <c r="B367" s="2" t="s">
        <v>509</v>
      </c>
      <c r="C367" s="2" t="s">
        <v>468</v>
      </c>
      <c r="D367" s="2" t="s">
        <v>469</v>
      </c>
      <c r="E367" s="2" t="s">
        <v>511</v>
      </c>
      <c r="F367" s="2" t="s">
        <v>98</v>
      </c>
      <c r="G367" s="2" t="s">
        <v>21</v>
      </c>
      <c r="H367" s="2">
        <f>IF(C367="Dynasty Autographs",Calculator!$E$4,IF(C367="Debut Day Inscriptions",Calculator!$E$5,IFERROR(VALUE(SUBSTITUTE(F367,"/","")),0)))</f>
        <v>10</v>
      </c>
      <c r="I367" s="2">
        <f t="shared" si="35"/>
        <v>0</v>
      </c>
      <c r="J367" s="2">
        <f t="shared" si="36"/>
        <v>0</v>
      </c>
      <c r="K367" s="2">
        <f t="shared" si="37"/>
        <v>0</v>
      </c>
      <c r="L367" s="2">
        <f t="shared" si="38"/>
        <v>10</v>
      </c>
      <c r="M367" s="2">
        <f t="shared" si="39"/>
        <v>5</v>
      </c>
      <c r="N367" s="2">
        <f t="shared" si="40"/>
        <v>1</v>
      </c>
      <c r="O367" s="2">
        <f t="shared" si="41"/>
        <v>16</v>
      </c>
    </row>
    <row r="368" spans="1:15" ht="29" x14ac:dyDescent="0.35">
      <c r="A368" s="2" t="s">
        <v>512</v>
      </c>
      <c r="B368" s="2" t="s">
        <v>26</v>
      </c>
      <c r="C368" s="2" t="s">
        <v>468</v>
      </c>
      <c r="D368" s="2" t="s">
        <v>469</v>
      </c>
      <c r="E368" s="2" t="s">
        <v>513</v>
      </c>
      <c r="F368" s="2" t="s">
        <v>98</v>
      </c>
      <c r="G368" s="2" t="s">
        <v>21</v>
      </c>
      <c r="H368" s="2">
        <f>IF(C368="Dynasty Autographs",Calculator!$E$4,IF(C368="Debut Day Inscriptions",Calculator!$E$5,IFERROR(VALUE(SUBSTITUTE(F368,"/","")),0)))</f>
        <v>10</v>
      </c>
      <c r="I368" s="2">
        <f t="shared" si="35"/>
        <v>0</v>
      </c>
      <c r="J368" s="2">
        <f t="shared" si="36"/>
        <v>0</v>
      </c>
      <c r="K368" s="2">
        <f t="shared" si="37"/>
        <v>0</v>
      </c>
      <c r="L368" s="2">
        <f t="shared" si="38"/>
        <v>10</v>
      </c>
      <c r="M368" s="2">
        <f t="shared" si="39"/>
        <v>5</v>
      </c>
      <c r="N368" s="2">
        <f t="shared" si="40"/>
        <v>1</v>
      </c>
      <c r="O368" s="2">
        <f t="shared" si="41"/>
        <v>16</v>
      </c>
    </row>
    <row r="369" spans="1:15" ht="29" x14ac:dyDescent="0.35">
      <c r="A369" s="2" t="s">
        <v>512</v>
      </c>
      <c r="B369" s="2" t="s">
        <v>26</v>
      </c>
      <c r="C369" s="2" t="s">
        <v>468</v>
      </c>
      <c r="D369" s="2" t="s">
        <v>469</v>
      </c>
      <c r="E369" s="2" t="s">
        <v>514</v>
      </c>
      <c r="F369" s="2" t="s">
        <v>98</v>
      </c>
      <c r="G369" s="2" t="s">
        <v>21</v>
      </c>
      <c r="H369" s="2">
        <f>IF(C369="Dynasty Autographs",Calculator!$E$4,IF(C369="Debut Day Inscriptions",Calculator!$E$5,IFERROR(VALUE(SUBSTITUTE(F369,"/","")),0)))</f>
        <v>10</v>
      </c>
      <c r="I369" s="2">
        <f t="shared" si="35"/>
        <v>0</v>
      </c>
      <c r="J369" s="2">
        <f t="shared" si="36"/>
        <v>0</v>
      </c>
      <c r="K369" s="2">
        <f t="shared" si="37"/>
        <v>0</v>
      </c>
      <c r="L369" s="2">
        <f t="shared" si="38"/>
        <v>10</v>
      </c>
      <c r="M369" s="2">
        <f t="shared" si="39"/>
        <v>5</v>
      </c>
      <c r="N369" s="2">
        <f t="shared" si="40"/>
        <v>1</v>
      </c>
      <c r="O369" s="2">
        <f t="shared" si="41"/>
        <v>16</v>
      </c>
    </row>
    <row r="370" spans="1:15" ht="29" x14ac:dyDescent="0.35">
      <c r="A370" s="2" t="s">
        <v>512</v>
      </c>
      <c r="B370" s="2" t="s">
        <v>26</v>
      </c>
      <c r="C370" s="2" t="s">
        <v>468</v>
      </c>
      <c r="D370" s="2" t="s">
        <v>469</v>
      </c>
      <c r="E370" s="2" t="s">
        <v>515</v>
      </c>
      <c r="F370" s="2" t="s">
        <v>98</v>
      </c>
      <c r="G370" s="2" t="s">
        <v>21</v>
      </c>
      <c r="H370" s="2">
        <f>IF(C370="Dynasty Autographs",Calculator!$E$4,IF(C370="Debut Day Inscriptions",Calculator!$E$5,IFERROR(VALUE(SUBSTITUTE(F370,"/","")),0)))</f>
        <v>10</v>
      </c>
      <c r="I370" s="2">
        <f t="shared" si="35"/>
        <v>0</v>
      </c>
      <c r="J370" s="2">
        <f t="shared" si="36"/>
        <v>0</v>
      </c>
      <c r="K370" s="2">
        <f t="shared" si="37"/>
        <v>0</v>
      </c>
      <c r="L370" s="2">
        <f t="shared" si="38"/>
        <v>10</v>
      </c>
      <c r="M370" s="2">
        <f t="shared" si="39"/>
        <v>5</v>
      </c>
      <c r="N370" s="2">
        <f t="shared" si="40"/>
        <v>1</v>
      </c>
      <c r="O370" s="2">
        <f t="shared" si="41"/>
        <v>16</v>
      </c>
    </row>
    <row r="371" spans="1:15" ht="29" x14ac:dyDescent="0.35">
      <c r="A371" s="2" t="s">
        <v>512</v>
      </c>
      <c r="B371" s="2" t="s">
        <v>26</v>
      </c>
      <c r="C371" s="2" t="s">
        <v>468</v>
      </c>
      <c r="D371" s="2" t="s">
        <v>469</v>
      </c>
      <c r="E371" s="2" t="s">
        <v>516</v>
      </c>
      <c r="F371" s="2" t="s">
        <v>98</v>
      </c>
      <c r="G371" s="2" t="s">
        <v>21</v>
      </c>
      <c r="H371" s="2">
        <f>IF(C371="Dynasty Autographs",Calculator!$E$4,IF(C371="Debut Day Inscriptions",Calculator!$E$5,IFERROR(VALUE(SUBSTITUTE(F371,"/","")),0)))</f>
        <v>10</v>
      </c>
      <c r="I371" s="2">
        <f t="shared" si="35"/>
        <v>0</v>
      </c>
      <c r="J371" s="2">
        <f t="shared" si="36"/>
        <v>0</v>
      </c>
      <c r="K371" s="2">
        <f t="shared" si="37"/>
        <v>0</v>
      </c>
      <c r="L371" s="2">
        <f t="shared" si="38"/>
        <v>10</v>
      </c>
      <c r="M371" s="2">
        <f t="shared" si="39"/>
        <v>5</v>
      </c>
      <c r="N371" s="2">
        <f t="shared" si="40"/>
        <v>1</v>
      </c>
      <c r="O371" s="2">
        <f t="shared" si="41"/>
        <v>16</v>
      </c>
    </row>
    <row r="372" spans="1:15" ht="29" x14ac:dyDescent="0.35">
      <c r="A372" s="2" t="s">
        <v>118</v>
      </c>
      <c r="B372" s="2" t="s">
        <v>47</v>
      </c>
      <c r="C372" s="2" t="s">
        <v>468</v>
      </c>
      <c r="D372" s="2" t="s">
        <v>469</v>
      </c>
      <c r="E372" s="2" t="s">
        <v>517</v>
      </c>
      <c r="F372" s="2" t="s">
        <v>98</v>
      </c>
      <c r="G372" s="2" t="s">
        <v>21</v>
      </c>
      <c r="H372" s="2">
        <f>IF(C372="Dynasty Autographs",Calculator!$E$4,IF(C372="Debut Day Inscriptions",Calculator!$E$5,IFERROR(VALUE(SUBSTITUTE(F372,"/","")),0)))</f>
        <v>10</v>
      </c>
      <c r="I372" s="2">
        <f t="shared" si="35"/>
        <v>0</v>
      </c>
      <c r="J372" s="2">
        <f t="shared" si="36"/>
        <v>0</v>
      </c>
      <c r="K372" s="2">
        <f t="shared" si="37"/>
        <v>0</v>
      </c>
      <c r="L372" s="2">
        <f t="shared" si="38"/>
        <v>10</v>
      </c>
      <c r="M372" s="2">
        <f t="shared" si="39"/>
        <v>5</v>
      </c>
      <c r="N372" s="2">
        <f t="shared" si="40"/>
        <v>1</v>
      </c>
      <c r="O372" s="2">
        <f t="shared" si="41"/>
        <v>16</v>
      </c>
    </row>
    <row r="373" spans="1:15" ht="29" x14ac:dyDescent="0.35">
      <c r="A373" s="2" t="s">
        <v>118</v>
      </c>
      <c r="B373" s="2" t="s">
        <v>47</v>
      </c>
      <c r="C373" s="2" t="s">
        <v>468</v>
      </c>
      <c r="D373" s="2" t="s">
        <v>469</v>
      </c>
      <c r="E373" s="2" t="s">
        <v>518</v>
      </c>
      <c r="F373" s="2" t="s">
        <v>98</v>
      </c>
      <c r="G373" s="2" t="s">
        <v>21</v>
      </c>
      <c r="H373" s="2">
        <f>IF(C373="Dynasty Autographs",Calculator!$E$4,IF(C373="Debut Day Inscriptions",Calculator!$E$5,IFERROR(VALUE(SUBSTITUTE(F373,"/","")),0)))</f>
        <v>10</v>
      </c>
      <c r="I373" s="2">
        <f t="shared" si="35"/>
        <v>0</v>
      </c>
      <c r="J373" s="2">
        <f t="shared" si="36"/>
        <v>0</v>
      </c>
      <c r="K373" s="2">
        <f t="shared" si="37"/>
        <v>0</v>
      </c>
      <c r="L373" s="2">
        <f t="shared" si="38"/>
        <v>10</v>
      </c>
      <c r="M373" s="2">
        <f t="shared" si="39"/>
        <v>5</v>
      </c>
      <c r="N373" s="2">
        <f t="shared" si="40"/>
        <v>1</v>
      </c>
      <c r="O373" s="2">
        <f t="shared" si="41"/>
        <v>16</v>
      </c>
    </row>
    <row r="374" spans="1:15" ht="29" x14ac:dyDescent="0.35">
      <c r="A374" s="2" t="s">
        <v>519</v>
      </c>
      <c r="B374" s="2" t="s">
        <v>16</v>
      </c>
      <c r="C374" s="2" t="s">
        <v>468</v>
      </c>
      <c r="D374" s="2" t="s">
        <v>469</v>
      </c>
      <c r="E374" s="2" t="s">
        <v>520</v>
      </c>
      <c r="F374" s="2" t="s">
        <v>98</v>
      </c>
      <c r="G374" s="2" t="s">
        <v>21</v>
      </c>
      <c r="H374" s="2">
        <f>IF(C374="Dynasty Autographs",Calculator!$E$4,IF(C374="Debut Day Inscriptions",Calculator!$E$5,IFERROR(VALUE(SUBSTITUTE(F374,"/","")),0)))</f>
        <v>10</v>
      </c>
      <c r="I374" s="2">
        <f t="shared" si="35"/>
        <v>0</v>
      </c>
      <c r="J374" s="2">
        <f t="shared" si="36"/>
        <v>0</v>
      </c>
      <c r="K374" s="2">
        <f t="shared" si="37"/>
        <v>0</v>
      </c>
      <c r="L374" s="2">
        <f t="shared" si="38"/>
        <v>10</v>
      </c>
      <c r="M374" s="2">
        <f t="shared" si="39"/>
        <v>5</v>
      </c>
      <c r="N374" s="2">
        <f t="shared" si="40"/>
        <v>1</v>
      </c>
      <c r="O374" s="2">
        <f t="shared" si="41"/>
        <v>16</v>
      </c>
    </row>
    <row r="375" spans="1:15" ht="29" x14ac:dyDescent="0.35">
      <c r="A375" s="2" t="s">
        <v>519</v>
      </c>
      <c r="B375" s="2" t="s">
        <v>16</v>
      </c>
      <c r="C375" s="2" t="s">
        <v>468</v>
      </c>
      <c r="D375" s="2" t="s">
        <v>469</v>
      </c>
      <c r="E375" s="2" t="s">
        <v>521</v>
      </c>
      <c r="F375" s="2" t="s">
        <v>98</v>
      </c>
      <c r="G375" s="2" t="s">
        <v>21</v>
      </c>
      <c r="H375" s="2">
        <f>IF(C375="Dynasty Autographs",Calculator!$E$4,IF(C375="Debut Day Inscriptions",Calculator!$E$5,IFERROR(VALUE(SUBSTITUTE(F375,"/","")),0)))</f>
        <v>10</v>
      </c>
      <c r="I375" s="2">
        <f t="shared" si="35"/>
        <v>0</v>
      </c>
      <c r="J375" s="2">
        <f t="shared" si="36"/>
        <v>0</v>
      </c>
      <c r="K375" s="2">
        <f t="shared" si="37"/>
        <v>0</v>
      </c>
      <c r="L375" s="2">
        <f t="shared" si="38"/>
        <v>10</v>
      </c>
      <c r="M375" s="2">
        <f t="shared" si="39"/>
        <v>5</v>
      </c>
      <c r="N375" s="2">
        <f t="shared" si="40"/>
        <v>1</v>
      </c>
      <c r="O375" s="2">
        <f t="shared" si="41"/>
        <v>16</v>
      </c>
    </row>
    <row r="376" spans="1:15" ht="29" x14ac:dyDescent="0.35">
      <c r="A376" s="2" t="s">
        <v>519</v>
      </c>
      <c r="B376" s="2" t="s">
        <v>16</v>
      </c>
      <c r="C376" s="2" t="s">
        <v>468</v>
      </c>
      <c r="D376" s="2" t="s">
        <v>469</v>
      </c>
      <c r="E376" s="2" t="s">
        <v>522</v>
      </c>
      <c r="F376" s="2" t="s">
        <v>98</v>
      </c>
      <c r="G376" s="2" t="s">
        <v>21</v>
      </c>
      <c r="H376" s="2">
        <f>IF(C376="Dynasty Autographs",Calculator!$E$4,IF(C376="Debut Day Inscriptions",Calculator!$E$5,IFERROR(VALUE(SUBSTITUTE(F376,"/","")),0)))</f>
        <v>10</v>
      </c>
      <c r="I376" s="2">
        <f t="shared" si="35"/>
        <v>0</v>
      </c>
      <c r="J376" s="2">
        <f t="shared" si="36"/>
        <v>0</v>
      </c>
      <c r="K376" s="2">
        <f t="shared" si="37"/>
        <v>0</v>
      </c>
      <c r="L376" s="2">
        <f t="shared" si="38"/>
        <v>10</v>
      </c>
      <c r="M376" s="2">
        <f t="shared" si="39"/>
        <v>5</v>
      </c>
      <c r="N376" s="2">
        <f t="shared" si="40"/>
        <v>1</v>
      </c>
      <c r="O376" s="2">
        <f t="shared" si="41"/>
        <v>16</v>
      </c>
    </row>
    <row r="377" spans="1:15" ht="29" x14ac:dyDescent="0.35">
      <c r="A377" s="2" t="s">
        <v>122</v>
      </c>
      <c r="B377" s="2" t="s">
        <v>26</v>
      </c>
      <c r="C377" s="2" t="s">
        <v>468</v>
      </c>
      <c r="D377" s="2" t="s">
        <v>469</v>
      </c>
      <c r="E377" s="2" t="s">
        <v>523</v>
      </c>
      <c r="F377" s="2" t="s">
        <v>98</v>
      </c>
      <c r="G377" s="2" t="s">
        <v>21</v>
      </c>
      <c r="H377" s="2">
        <f>IF(C377="Dynasty Autographs",Calculator!$E$4,IF(C377="Debut Day Inscriptions",Calculator!$E$5,IFERROR(VALUE(SUBSTITUTE(F377,"/","")),0)))</f>
        <v>10</v>
      </c>
      <c r="I377" s="2">
        <f t="shared" si="35"/>
        <v>0</v>
      </c>
      <c r="J377" s="2">
        <f t="shared" si="36"/>
        <v>0</v>
      </c>
      <c r="K377" s="2">
        <f t="shared" si="37"/>
        <v>0</v>
      </c>
      <c r="L377" s="2">
        <f t="shared" si="38"/>
        <v>10</v>
      </c>
      <c r="M377" s="2">
        <f t="shared" si="39"/>
        <v>5</v>
      </c>
      <c r="N377" s="2">
        <f t="shared" si="40"/>
        <v>1</v>
      </c>
      <c r="O377" s="2">
        <f t="shared" si="41"/>
        <v>16</v>
      </c>
    </row>
    <row r="378" spans="1:15" ht="29" x14ac:dyDescent="0.35">
      <c r="A378" s="2" t="s">
        <v>122</v>
      </c>
      <c r="B378" s="2" t="s">
        <v>26</v>
      </c>
      <c r="C378" s="2" t="s">
        <v>468</v>
      </c>
      <c r="D378" s="2" t="s">
        <v>469</v>
      </c>
      <c r="E378" s="2" t="s">
        <v>524</v>
      </c>
      <c r="F378" s="2" t="s">
        <v>98</v>
      </c>
      <c r="G378" s="2" t="s">
        <v>21</v>
      </c>
      <c r="H378" s="2">
        <f>IF(C378="Dynasty Autographs",Calculator!$E$4,IF(C378="Debut Day Inscriptions",Calculator!$E$5,IFERROR(VALUE(SUBSTITUTE(F378,"/","")),0)))</f>
        <v>10</v>
      </c>
      <c r="I378" s="2">
        <f t="shared" si="35"/>
        <v>0</v>
      </c>
      <c r="J378" s="2">
        <f t="shared" si="36"/>
        <v>0</v>
      </c>
      <c r="K378" s="2">
        <f t="shared" si="37"/>
        <v>0</v>
      </c>
      <c r="L378" s="2">
        <f t="shared" si="38"/>
        <v>10</v>
      </c>
      <c r="M378" s="2">
        <f t="shared" si="39"/>
        <v>5</v>
      </c>
      <c r="N378" s="2">
        <f t="shared" si="40"/>
        <v>1</v>
      </c>
      <c r="O378" s="2">
        <f t="shared" si="41"/>
        <v>16</v>
      </c>
    </row>
    <row r="379" spans="1:15" ht="29" x14ac:dyDescent="0.35">
      <c r="A379" s="2" t="s">
        <v>122</v>
      </c>
      <c r="B379" s="2" t="s">
        <v>26</v>
      </c>
      <c r="C379" s="2" t="s">
        <v>468</v>
      </c>
      <c r="D379" s="2" t="s">
        <v>469</v>
      </c>
      <c r="E379" s="2" t="s">
        <v>525</v>
      </c>
      <c r="F379" s="2" t="s">
        <v>98</v>
      </c>
      <c r="G379" s="2" t="s">
        <v>21</v>
      </c>
      <c r="H379" s="2">
        <f>IF(C379="Dynasty Autographs",Calculator!$E$4,IF(C379="Debut Day Inscriptions",Calculator!$E$5,IFERROR(VALUE(SUBSTITUTE(F379,"/","")),0)))</f>
        <v>10</v>
      </c>
      <c r="I379" s="2">
        <f t="shared" si="35"/>
        <v>0</v>
      </c>
      <c r="J379" s="2">
        <f t="shared" si="36"/>
        <v>0</v>
      </c>
      <c r="K379" s="2">
        <f t="shared" si="37"/>
        <v>0</v>
      </c>
      <c r="L379" s="2">
        <f t="shared" si="38"/>
        <v>10</v>
      </c>
      <c r="M379" s="2">
        <f t="shared" si="39"/>
        <v>5</v>
      </c>
      <c r="N379" s="2">
        <f t="shared" si="40"/>
        <v>1</v>
      </c>
      <c r="O379" s="2">
        <f t="shared" si="41"/>
        <v>16</v>
      </c>
    </row>
    <row r="380" spans="1:15" ht="29" x14ac:dyDescent="0.35">
      <c r="A380" s="2" t="s">
        <v>122</v>
      </c>
      <c r="B380" s="2" t="s">
        <v>26</v>
      </c>
      <c r="C380" s="2" t="s">
        <v>468</v>
      </c>
      <c r="D380" s="2" t="s">
        <v>469</v>
      </c>
      <c r="E380" s="2" t="s">
        <v>526</v>
      </c>
      <c r="F380" s="2" t="s">
        <v>98</v>
      </c>
      <c r="G380" s="2" t="s">
        <v>21</v>
      </c>
      <c r="H380" s="2">
        <f>IF(C380="Dynasty Autographs",Calculator!$E$4,IF(C380="Debut Day Inscriptions",Calculator!$E$5,IFERROR(VALUE(SUBSTITUTE(F380,"/","")),0)))</f>
        <v>10</v>
      </c>
      <c r="I380" s="2">
        <f t="shared" si="35"/>
        <v>0</v>
      </c>
      <c r="J380" s="2">
        <f t="shared" si="36"/>
        <v>0</v>
      </c>
      <c r="K380" s="2">
        <f t="shared" si="37"/>
        <v>0</v>
      </c>
      <c r="L380" s="2">
        <f t="shared" si="38"/>
        <v>10</v>
      </c>
      <c r="M380" s="2">
        <f t="shared" si="39"/>
        <v>5</v>
      </c>
      <c r="N380" s="2">
        <f t="shared" si="40"/>
        <v>1</v>
      </c>
      <c r="O380" s="2">
        <f t="shared" si="41"/>
        <v>16</v>
      </c>
    </row>
    <row r="381" spans="1:15" ht="29" x14ac:dyDescent="0.35">
      <c r="A381" s="2" t="s">
        <v>128</v>
      </c>
      <c r="B381" s="2" t="s">
        <v>63</v>
      </c>
      <c r="C381" s="2" t="s">
        <v>468</v>
      </c>
      <c r="D381" s="2" t="s">
        <v>469</v>
      </c>
      <c r="E381" s="2" t="s">
        <v>527</v>
      </c>
      <c r="F381" s="2" t="s">
        <v>98</v>
      </c>
      <c r="G381" s="2" t="s">
        <v>21</v>
      </c>
      <c r="H381" s="2">
        <f>IF(C381="Dynasty Autographs",Calculator!$E$4,IF(C381="Debut Day Inscriptions",Calculator!$E$5,IFERROR(VALUE(SUBSTITUTE(F381,"/","")),0)))</f>
        <v>10</v>
      </c>
      <c r="I381" s="2">
        <f t="shared" si="35"/>
        <v>0</v>
      </c>
      <c r="J381" s="2">
        <f t="shared" si="36"/>
        <v>0</v>
      </c>
      <c r="K381" s="2">
        <f t="shared" si="37"/>
        <v>0</v>
      </c>
      <c r="L381" s="2">
        <f t="shared" si="38"/>
        <v>10</v>
      </c>
      <c r="M381" s="2">
        <f t="shared" si="39"/>
        <v>5</v>
      </c>
      <c r="N381" s="2">
        <f t="shared" si="40"/>
        <v>1</v>
      </c>
      <c r="O381" s="2">
        <f t="shared" si="41"/>
        <v>16</v>
      </c>
    </row>
    <row r="382" spans="1:15" ht="29" x14ac:dyDescent="0.35">
      <c r="A382" s="2" t="s">
        <v>128</v>
      </c>
      <c r="B382" s="2" t="s">
        <v>63</v>
      </c>
      <c r="C382" s="2" t="s">
        <v>468</v>
      </c>
      <c r="D382" s="2" t="s">
        <v>469</v>
      </c>
      <c r="E382" s="2" t="s">
        <v>528</v>
      </c>
      <c r="F382" s="2" t="s">
        <v>98</v>
      </c>
      <c r="G382" s="2" t="s">
        <v>21</v>
      </c>
      <c r="H382" s="2">
        <f>IF(C382="Dynasty Autographs",Calculator!$E$4,IF(C382="Debut Day Inscriptions",Calculator!$E$5,IFERROR(VALUE(SUBSTITUTE(F382,"/","")),0)))</f>
        <v>10</v>
      </c>
      <c r="I382" s="2">
        <f t="shared" si="35"/>
        <v>0</v>
      </c>
      <c r="J382" s="2">
        <f t="shared" si="36"/>
        <v>0</v>
      </c>
      <c r="K382" s="2">
        <f t="shared" si="37"/>
        <v>0</v>
      </c>
      <c r="L382" s="2">
        <f t="shared" si="38"/>
        <v>10</v>
      </c>
      <c r="M382" s="2">
        <f t="shared" si="39"/>
        <v>5</v>
      </c>
      <c r="N382" s="2">
        <f t="shared" si="40"/>
        <v>1</v>
      </c>
      <c r="O382" s="2">
        <f t="shared" si="41"/>
        <v>16</v>
      </c>
    </row>
    <row r="383" spans="1:15" ht="29" x14ac:dyDescent="0.35">
      <c r="A383" s="2" t="s">
        <v>128</v>
      </c>
      <c r="B383" s="2" t="s">
        <v>63</v>
      </c>
      <c r="C383" s="2" t="s">
        <v>468</v>
      </c>
      <c r="D383" s="2" t="s">
        <v>469</v>
      </c>
      <c r="E383" s="2" t="s">
        <v>529</v>
      </c>
      <c r="F383" s="2" t="s">
        <v>98</v>
      </c>
      <c r="G383" s="2" t="s">
        <v>21</v>
      </c>
      <c r="H383" s="2">
        <f>IF(C383="Dynasty Autographs",Calculator!$E$4,IF(C383="Debut Day Inscriptions",Calculator!$E$5,IFERROR(VALUE(SUBSTITUTE(F383,"/","")),0)))</f>
        <v>10</v>
      </c>
      <c r="I383" s="2">
        <f t="shared" si="35"/>
        <v>0</v>
      </c>
      <c r="J383" s="2">
        <f t="shared" si="36"/>
        <v>0</v>
      </c>
      <c r="K383" s="2">
        <f t="shared" si="37"/>
        <v>0</v>
      </c>
      <c r="L383" s="2">
        <f t="shared" si="38"/>
        <v>10</v>
      </c>
      <c r="M383" s="2">
        <f t="shared" si="39"/>
        <v>5</v>
      </c>
      <c r="N383" s="2">
        <f t="shared" si="40"/>
        <v>1</v>
      </c>
      <c r="O383" s="2">
        <f t="shared" si="41"/>
        <v>16</v>
      </c>
    </row>
    <row r="384" spans="1:15" ht="29" x14ac:dyDescent="0.35">
      <c r="A384" s="2" t="s">
        <v>128</v>
      </c>
      <c r="B384" s="2" t="s">
        <v>63</v>
      </c>
      <c r="C384" s="2" t="s">
        <v>468</v>
      </c>
      <c r="D384" s="2" t="s">
        <v>469</v>
      </c>
      <c r="E384" s="2" t="s">
        <v>530</v>
      </c>
      <c r="F384" s="2" t="s">
        <v>98</v>
      </c>
      <c r="G384" s="2" t="s">
        <v>21</v>
      </c>
      <c r="H384" s="2">
        <f>IF(C384="Dynasty Autographs",Calculator!$E$4,IF(C384="Debut Day Inscriptions",Calculator!$E$5,IFERROR(VALUE(SUBSTITUTE(F384,"/","")),0)))</f>
        <v>10</v>
      </c>
      <c r="I384" s="2">
        <f t="shared" si="35"/>
        <v>0</v>
      </c>
      <c r="J384" s="2">
        <f t="shared" si="36"/>
        <v>0</v>
      </c>
      <c r="K384" s="2">
        <f t="shared" si="37"/>
        <v>0</v>
      </c>
      <c r="L384" s="2">
        <f t="shared" si="38"/>
        <v>10</v>
      </c>
      <c r="M384" s="2">
        <f t="shared" si="39"/>
        <v>5</v>
      </c>
      <c r="N384" s="2">
        <f t="shared" si="40"/>
        <v>1</v>
      </c>
      <c r="O384" s="2">
        <f t="shared" si="41"/>
        <v>16</v>
      </c>
    </row>
    <row r="385" spans="1:15" ht="29" x14ac:dyDescent="0.35">
      <c r="A385" s="2" t="s">
        <v>531</v>
      </c>
      <c r="B385" s="2" t="s">
        <v>23</v>
      </c>
      <c r="C385" s="2" t="s">
        <v>468</v>
      </c>
      <c r="D385" s="2" t="s">
        <v>469</v>
      </c>
      <c r="E385" s="2" t="s">
        <v>532</v>
      </c>
      <c r="F385" s="2" t="s">
        <v>98</v>
      </c>
      <c r="G385" s="2" t="s">
        <v>21</v>
      </c>
      <c r="H385" s="2">
        <f>IF(C385="Dynasty Autographs",Calculator!$E$4,IF(C385="Debut Day Inscriptions",Calculator!$E$5,IFERROR(VALUE(SUBSTITUTE(F385,"/","")),0)))</f>
        <v>10</v>
      </c>
      <c r="I385" s="2">
        <f t="shared" si="35"/>
        <v>0</v>
      </c>
      <c r="J385" s="2">
        <f t="shared" si="36"/>
        <v>0</v>
      </c>
      <c r="K385" s="2">
        <f t="shared" si="37"/>
        <v>0</v>
      </c>
      <c r="L385" s="2">
        <f t="shared" si="38"/>
        <v>10</v>
      </c>
      <c r="M385" s="2">
        <f t="shared" si="39"/>
        <v>5</v>
      </c>
      <c r="N385" s="2">
        <f t="shared" si="40"/>
        <v>1</v>
      </c>
      <c r="O385" s="2">
        <f t="shared" si="41"/>
        <v>16</v>
      </c>
    </row>
    <row r="386" spans="1:15" ht="29" x14ac:dyDescent="0.35">
      <c r="A386" s="2" t="s">
        <v>531</v>
      </c>
      <c r="B386" s="2" t="s">
        <v>23</v>
      </c>
      <c r="C386" s="2" t="s">
        <v>468</v>
      </c>
      <c r="D386" s="2" t="s">
        <v>469</v>
      </c>
      <c r="E386" s="2" t="s">
        <v>533</v>
      </c>
      <c r="F386" s="2" t="s">
        <v>98</v>
      </c>
      <c r="G386" s="2" t="s">
        <v>21</v>
      </c>
      <c r="H386" s="2">
        <f>IF(C386="Dynasty Autographs",Calculator!$E$4,IF(C386="Debut Day Inscriptions",Calculator!$E$5,IFERROR(VALUE(SUBSTITUTE(F386,"/","")),0)))</f>
        <v>10</v>
      </c>
      <c r="I386" s="2">
        <f t="shared" ref="I386:I449" si="42">IF(H386=99,99,IF(ISNUMBER(SEARCH("/99",G386)),99,0))</f>
        <v>0</v>
      </c>
      <c r="J386" s="2">
        <f t="shared" ref="J386:J449" si="43">IF(H386=50,50,IF(ISNUMBER(SEARCH("/50",G386)),50,0))</f>
        <v>0</v>
      </c>
      <c r="K386" s="2">
        <f t="shared" ref="K386:K449" si="44">IF(H386=25,25,IF(ISNUMBER(SEARCH("/25",G386)),25,0))</f>
        <v>0</v>
      </c>
      <c r="L386" s="2">
        <f t="shared" ref="L386:L449" si="45">IF(H386=10,10,IF(ISNUMBER(SEARCH("/10",G386)),10,0))</f>
        <v>10</v>
      </c>
      <c r="M386" s="2">
        <f t="shared" ref="M386:M449" si="46">IF(H386=5,5,IF(ISNUMBER(SEARCH("/5",G386)),5,0))</f>
        <v>5</v>
      </c>
      <c r="N386" s="2">
        <f t="shared" ref="N386:N449" si="47">IF(H386=1,1,IF(ISNUMBER(SEARCH("1/1",G386)),1,0))</f>
        <v>1</v>
      </c>
      <c r="O386" s="2">
        <f t="shared" ref="O386:O449" si="48">SUM(I386:N386)</f>
        <v>16</v>
      </c>
    </row>
    <row r="387" spans="1:15" ht="29" x14ac:dyDescent="0.35">
      <c r="A387" s="2" t="s">
        <v>132</v>
      </c>
      <c r="B387" s="2" t="s">
        <v>42</v>
      </c>
      <c r="C387" s="2" t="s">
        <v>468</v>
      </c>
      <c r="D387" s="2" t="s">
        <v>469</v>
      </c>
      <c r="E387" s="2" t="s">
        <v>534</v>
      </c>
      <c r="F387" s="2" t="s">
        <v>98</v>
      </c>
      <c r="G387" s="2" t="s">
        <v>21</v>
      </c>
      <c r="H387" s="2">
        <f>IF(C387="Dynasty Autographs",Calculator!$E$4,IF(C387="Debut Day Inscriptions",Calculator!$E$5,IFERROR(VALUE(SUBSTITUTE(F387,"/","")),0)))</f>
        <v>10</v>
      </c>
      <c r="I387" s="2">
        <f t="shared" si="42"/>
        <v>0</v>
      </c>
      <c r="J387" s="2">
        <f t="shared" si="43"/>
        <v>0</v>
      </c>
      <c r="K387" s="2">
        <f t="shared" si="44"/>
        <v>0</v>
      </c>
      <c r="L387" s="2">
        <f t="shared" si="45"/>
        <v>10</v>
      </c>
      <c r="M387" s="2">
        <f t="shared" si="46"/>
        <v>5</v>
      </c>
      <c r="N387" s="2">
        <f t="shared" si="47"/>
        <v>1</v>
      </c>
      <c r="O387" s="2">
        <f t="shared" si="48"/>
        <v>16</v>
      </c>
    </row>
    <row r="388" spans="1:15" ht="29" x14ac:dyDescent="0.35">
      <c r="A388" s="2" t="s">
        <v>132</v>
      </c>
      <c r="B388" s="2" t="s">
        <v>42</v>
      </c>
      <c r="C388" s="2" t="s">
        <v>468</v>
      </c>
      <c r="D388" s="2" t="s">
        <v>469</v>
      </c>
      <c r="E388" s="2" t="s">
        <v>535</v>
      </c>
      <c r="F388" s="2" t="s">
        <v>98</v>
      </c>
      <c r="G388" s="2" t="s">
        <v>21</v>
      </c>
      <c r="H388" s="2">
        <f>IF(C388="Dynasty Autographs",Calculator!$E$4,IF(C388="Debut Day Inscriptions",Calculator!$E$5,IFERROR(VALUE(SUBSTITUTE(F388,"/","")),0)))</f>
        <v>10</v>
      </c>
      <c r="I388" s="2">
        <f t="shared" si="42"/>
        <v>0</v>
      </c>
      <c r="J388" s="2">
        <f t="shared" si="43"/>
        <v>0</v>
      </c>
      <c r="K388" s="2">
        <f t="shared" si="44"/>
        <v>0</v>
      </c>
      <c r="L388" s="2">
        <f t="shared" si="45"/>
        <v>10</v>
      </c>
      <c r="M388" s="2">
        <f t="shared" si="46"/>
        <v>5</v>
      </c>
      <c r="N388" s="2">
        <f t="shared" si="47"/>
        <v>1</v>
      </c>
      <c r="O388" s="2">
        <f t="shared" si="48"/>
        <v>16</v>
      </c>
    </row>
    <row r="389" spans="1:15" ht="29" x14ac:dyDescent="0.35">
      <c r="A389" s="2" t="s">
        <v>132</v>
      </c>
      <c r="B389" s="2" t="s">
        <v>42</v>
      </c>
      <c r="C389" s="2" t="s">
        <v>468</v>
      </c>
      <c r="D389" s="2" t="s">
        <v>469</v>
      </c>
      <c r="E389" s="2" t="s">
        <v>536</v>
      </c>
      <c r="F389" s="2" t="s">
        <v>98</v>
      </c>
      <c r="G389" s="2" t="s">
        <v>21</v>
      </c>
      <c r="H389" s="2">
        <f>IF(C389="Dynasty Autographs",Calculator!$E$4,IF(C389="Debut Day Inscriptions",Calculator!$E$5,IFERROR(VALUE(SUBSTITUTE(F389,"/","")),0)))</f>
        <v>10</v>
      </c>
      <c r="I389" s="2">
        <f t="shared" si="42"/>
        <v>0</v>
      </c>
      <c r="J389" s="2">
        <f t="shared" si="43"/>
        <v>0</v>
      </c>
      <c r="K389" s="2">
        <f t="shared" si="44"/>
        <v>0</v>
      </c>
      <c r="L389" s="2">
        <f t="shared" si="45"/>
        <v>10</v>
      </c>
      <c r="M389" s="2">
        <f t="shared" si="46"/>
        <v>5</v>
      </c>
      <c r="N389" s="2">
        <f t="shared" si="47"/>
        <v>1</v>
      </c>
      <c r="O389" s="2">
        <f t="shared" si="48"/>
        <v>16</v>
      </c>
    </row>
    <row r="390" spans="1:15" ht="29" x14ac:dyDescent="0.35">
      <c r="A390" s="2" t="s">
        <v>132</v>
      </c>
      <c r="B390" s="2" t="s">
        <v>42</v>
      </c>
      <c r="C390" s="2" t="s">
        <v>468</v>
      </c>
      <c r="D390" s="2" t="s">
        <v>469</v>
      </c>
      <c r="E390" s="2" t="s">
        <v>537</v>
      </c>
      <c r="F390" s="2" t="s">
        <v>98</v>
      </c>
      <c r="G390" s="2" t="s">
        <v>21</v>
      </c>
      <c r="H390" s="2">
        <f>IF(C390="Dynasty Autographs",Calculator!$E$4,IF(C390="Debut Day Inscriptions",Calculator!$E$5,IFERROR(VALUE(SUBSTITUTE(F390,"/","")),0)))</f>
        <v>10</v>
      </c>
      <c r="I390" s="2">
        <f t="shared" si="42"/>
        <v>0</v>
      </c>
      <c r="J390" s="2">
        <f t="shared" si="43"/>
        <v>0</v>
      </c>
      <c r="K390" s="2">
        <f t="shared" si="44"/>
        <v>0</v>
      </c>
      <c r="L390" s="2">
        <f t="shared" si="45"/>
        <v>10</v>
      </c>
      <c r="M390" s="2">
        <f t="shared" si="46"/>
        <v>5</v>
      </c>
      <c r="N390" s="2">
        <f t="shared" si="47"/>
        <v>1</v>
      </c>
      <c r="O390" s="2">
        <f t="shared" si="48"/>
        <v>16</v>
      </c>
    </row>
    <row r="391" spans="1:15" ht="29" x14ac:dyDescent="0.35">
      <c r="A391" s="2" t="s">
        <v>267</v>
      </c>
      <c r="B391" s="2" t="s">
        <v>52</v>
      </c>
      <c r="C391" s="2" t="s">
        <v>468</v>
      </c>
      <c r="D391" s="2" t="s">
        <v>469</v>
      </c>
      <c r="E391" s="2" t="s">
        <v>538</v>
      </c>
      <c r="F391" s="2" t="s">
        <v>98</v>
      </c>
      <c r="G391" s="2" t="s">
        <v>21</v>
      </c>
      <c r="H391" s="2">
        <f>IF(C391="Dynasty Autographs",Calculator!$E$4,IF(C391="Debut Day Inscriptions",Calculator!$E$5,IFERROR(VALUE(SUBSTITUTE(F391,"/","")),0)))</f>
        <v>10</v>
      </c>
      <c r="I391" s="2">
        <f t="shared" si="42"/>
        <v>0</v>
      </c>
      <c r="J391" s="2">
        <f t="shared" si="43"/>
        <v>0</v>
      </c>
      <c r="K391" s="2">
        <f t="shared" si="44"/>
        <v>0</v>
      </c>
      <c r="L391" s="2">
        <f t="shared" si="45"/>
        <v>10</v>
      </c>
      <c r="M391" s="2">
        <f t="shared" si="46"/>
        <v>5</v>
      </c>
      <c r="N391" s="2">
        <f t="shared" si="47"/>
        <v>1</v>
      </c>
      <c r="O391" s="2">
        <f t="shared" si="48"/>
        <v>16</v>
      </c>
    </row>
    <row r="392" spans="1:15" ht="29" x14ac:dyDescent="0.35">
      <c r="A392" s="2" t="s">
        <v>267</v>
      </c>
      <c r="B392" s="2" t="s">
        <v>52</v>
      </c>
      <c r="C392" s="2" t="s">
        <v>468</v>
      </c>
      <c r="D392" s="2" t="s">
        <v>469</v>
      </c>
      <c r="E392" s="2" t="s">
        <v>539</v>
      </c>
      <c r="F392" s="2" t="s">
        <v>98</v>
      </c>
      <c r="G392" s="2" t="s">
        <v>21</v>
      </c>
      <c r="H392" s="2">
        <f>IF(C392="Dynasty Autographs",Calculator!$E$4,IF(C392="Debut Day Inscriptions",Calculator!$E$5,IFERROR(VALUE(SUBSTITUTE(F392,"/","")),0)))</f>
        <v>10</v>
      </c>
      <c r="I392" s="2">
        <f t="shared" si="42"/>
        <v>0</v>
      </c>
      <c r="J392" s="2">
        <f t="shared" si="43"/>
        <v>0</v>
      </c>
      <c r="K392" s="2">
        <f t="shared" si="44"/>
        <v>0</v>
      </c>
      <c r="L392" s="2">
        <f t="shared" si="45"/>
        <v>10</v>
      </c>
      <c r="M392" s="2">
        <f t="shared" si="46"/>
        <v>5</v>
      </c>
      <c r="N392" s="2">
        <f t="shared" si="47"/>
        <v>1</v>
      </c>
      <c r="O392" s="2">
        <f t="shared" si="48"/>
        <v>16</v>
      </c>
    </row>
    <row r="393" spans="1:15" ht="29" x14ac:dyDescent="0.35">
      <c r="A393" s="2" t="s">
        <v>540</v>
      </c>
      <c r="B393" s="2" t="s">
        <v>63</v>
      </c>
      <c r="C393" s="2" t="s">
        <v>468</v>
      </c>
      <c r="D393" s="2" t="s">
        <v>469</v>
      </c>
      <c r="E393" s="2" t="s">
        <v>541</v>
      </c>
      <c r="F393" s="2" t="s">
        <v>98</v>
      </c>
      <c r="G393" s="2" t="s">
        <v>21</v>
      </c>
      <c r="H393" s="2">
        <f>IF(C393="Dynasty Autographs",Calculator!$E$4,IF(C393="Debut Day Inscriptions",Calculator!$E$5,IFERROR(VALUE(SUBSTITUTE(F393,"/","")),0)))</f>
        <v>10</v>
      </c>
      <c r="I393" s="2">
        <f t="shared" si="42"/>
        <v>0</v>
      </c>
      <c r="J393" s="2">
        <f t="shared" si="43"/>
        <v>0</v>
      </c>
      <c r="K393" s="2">
        <f t="shared" si="44"/>
        <v>0</v>
      </c>
      <c r="L393" s="2">
        <f t="shared" si="45"/>
        <v>10</v>
      </c>
      <c r="M393" s="2">
        <f t="shared" si="46"/>
        <v>5</v>
      </c>
      <c r="N393" s="2">
        <f t="shared" si="47"/>
        <v>1</v>
      </c>
      <c r="O393" s="2">
        <f t="shared" si="48"/>
        <v>16</v>
      </c>
    </row>
    <row r="394" spans="1:15" ht="29" x14ac:dyDescent="0.35">
      <c r="A394" s="2" t="s">
        <v>540</v>
      </c>
      <c r="B394" s="2" t="s">
        <v>63</v>
      </c>
      <c r="C394" s="2" t="s">
        <v>468</v>
      </c>
      <c r="D394" s="2" t="s">
        <v>469</v>
      </c>
      <c r="E394" s="2" t="s">
        <v>542</v>
      </c>
      <c r="F394" s="2" t="s">
        <v>98</v>
      </c>
      <c r="G394" s="2" t="s">
        <v>21</v>
      </c>
      <c r="H394" s="2">
        <f>IF(C394="Dynasty Autographs",Calculator!$E$4,IF(C394="Debut Day Inscriptions",Calculator!$E$5,IFERROR(VALUE(SUBSTITUTE(F394,"/","")),0)))</f>
        <v>10</v>
      </c>
      <c r="I394" s="2">
        <f t="shared" si="42"/>
        <v>0</v>
      </c>
      <c r="J394" s="2">
        <f t="shared" si="43"/>
        <v>0</v>
      </c>
      <c r="K394" s="2">
        <f t="shared" si="44"/>
        <v>0</v>
      </c>
      <c r="L394" s="2">
        <f t="shared" si="45"/>
        <v>10</v>
      </c>
      <c r="M394" s="2">
        <f t="shared" si="46"/>
        <v>5</v>
      </c>
      <c r="N394" s="2">
        <f t="shared" si="47"/>
        <v>1</v>
      </c>
      <c r="O394" s="2">
        <f t="shared" si="48"/>
        <v>16</v>
      </c>
    </row>
    <row r="395" spans="1:15" ht="29" x14ac:dyDescent="0.35">
      <c r="A395" s="2" t="s">
        <v>543</v>
      </c>
      <c r="B395" s="2" t="s">
        <v>47</v>
      </c>
      <c r="C395" s="2" t="s">
        <v>468</v>
      </c>
      <c r="D395" s="2" t="s">
        <v>469</v>
      </c>
      <c r="E395" s="2" t="s">
        <v>544</v>
      </c>
      <c r="F395" s="2" t="s">
        <v>98</v>
      </c>
      <c r="G395" s="2" t="s">
        <v>21</v>
      </c>
      <c r="H395" s="2">
        <f>IF(C395="Dynasty Autographs",Calculator!$E$4,IF(C395="Debut Day Inscriptions",Calculator!$E$5,IFERROR(VALUE(SUBSTITUTE(F395,"/","")),0)))</f>
        <v>10</v>
      </c>
      <c r="I395" s="2">
        <f t="shared" si="42"/>
        <v>0</v>
      </c>
      <c r="J395" s="2">
        <f t="shared" si="43"/>
        <v>0</v>
      </c>
      <c r="K395" s="2">
        <f t="shared" si="44"/>
        <v>0</v>
      </c>
      <c r="L395" s="2">
        <f t="shared" si="45"/>
        <v>10</v>
      </c>
      <c r="M395" s="2">
        <f t="shared" si="46"/>
        <v>5</v>
      </c>
      <c r="N395" s="2">
        <f t="shared" si="47"/>
        <v>1</v>
      </c>
      <c r="O395" s="2">
        <f t="shared" si="48"/>
        <v>16</v>
      </c>
    </row>
    <row r="396" spans="1:15" ht="29" x14ac:dyDescent="0.35">
      <c r="A396" s="2" t="s">
        <v>543</v>
      </c>
      <c r="B396" s="2" t="s">
        <v>47</v>
      </c>
      <c r="C396" s="2" t="s">
        <v>468</v>
      </c>
      <c r="D396" s="2" t="s">
        <v>469</v>
      </c>
      <c r="E396" s="2" t="s">
        <v>545</v>
      </c>
      <c r="F396" s="2" t="s">
        <v>98</v>
      </c>
      <c r="G396" s="2" t="s">
        <v>21</v>
      </c>
      <c r="H396" s="2">
        <f>IF(C396="Dynasty Autographs",Calculator!$E$4,IF(C396="Debut Day Inscriptions",Calculator!$E$5,IFERROR(VALUE(SUBSTITUTE(F396,"/","")),0)))</f>
        <v>10</v>
      </c>
      <c r="I396" s="2">
        <f t="shared" si="42"/>
        <v>0</v>
      </c>
      <c r="J396" s="2">
        <f t="shared" si="43"/>
        <v>0</v>
      </c>
      <c r="K396" s="2">
        <f t="shared" si="44"/>
        <v>0</v>
      </c>
      <c r="L396" s="2">
        <f t="shared" si="45"/>
        <v>10</v>
      </c>
      <c r="M396" s="2">
        <f t="shared" si="46"/>
        <v>5</v>
      </c>
      <c r="N396" s="2">
        <f t="shared" si="47"/>
        <v>1</v>
      </c>
      <c r="O396" s="2">
        <f t="shared" si="48"/>
        <v>16</v>
      </c>
    </row>
    <row r="397" spans="1:15" ht="29" x14ac:dyDescent="0.35">
      <c r="A397" s="2" t="s">
        <v>543</v>
      </c>
      <c r="B397" s="2" t="s">
        <v>47</v>
      </c>
      <c r="C397" s="2" t="s">
        <v>468</v>
      </c>
      <c r="D397" s="2" t="s">
        <v>469</v>
      </c>
      <c r="E397" s="2" t="s">
        <v>546</v>
      </c>
      <c r="F397" s="2" t="s">
        <v>98</v>
      </c>
      <c r="G397" s="2" t="s">
        <v>21</v>
      </c>
      <c r="H397" s="2">
        <f>IF(C397="Dynasty Autographs",Calculator!$E$4,IF(C397="Debut Day Inscriptions",Calculator!$E$5,IFERROR(VALUE(SUBSTITUTE(F397,"/","")),0)))</f>
        <v>10</v>
      </c>
      <c r="I397" s="2">
        <f t="shared" si="42"/>
        <v>0</v>
      </c>
      <c r="J397" s="2">
        <f t="shared" si="43"/>
        <v>0</v>
      </c>
      <c r="K397" s="2">
        <f t="shared" si="44"/>
        <v>0</v>
      </c>
      <c r="L397" s="2">
        <f t="shared" si="45"/>
        <v>10</v>
      </c>
      <c r="M397" s="2">
        <f t="shared" si="46"/>
        <v>5</v>
      </c>
      <c r="N397" s="2">
        <f t="shared" si="47"/>
        <v>1</v>
      </c>
      <c r="O397" s="2">
        <f t="shared" si="48"/>
        <v>16</v>
      </c>
    </row>
    <row r="398" spans="1:15" ht="29" x14ac:dyDescent="0.35">
      <c r="A398" s="2" t="s">
        <v>543</v>
      </c>
      <c r="B398" s="2" t="s">
        <v>47</v>
      </c>
      <c r="C398" s="2" t="s">
        <v>468</v>
      </c>
      <c r="D398" s="2" t="s">
        <v>469</v>
      </c>
      <c r="E398" s="2" t="s">
        <v>547</v>
      </c>
      <c r="F398" s="2" t="s">
        <v>98</v>
      </c>
      <c r="G398" s="2" t="s">
        <v>21</v>
      </c>
      <c r="H398" s="2">
        <f>IF(C398="Dynasty Autographs",Calculator!$E$4,IF(C398="Debut Day Inscriptions",Calculator!$E$5,IFERROR(VALUE(SUBSTITUTE(F398,"/","")),0)))</f>
        <v>10</v>
      </c>
      <c r="I398" s="2">
        <f t="shared" si="42"/>
        <v>0</v>
      </c>
      <c r="J398" s="2">
        <f t="shared" si="43"/>
        <v>0</v>
      </c>
      <c r="K398" s="2">
        <f t="shared" si="44"/>
        <v>0</v>
      </c>
      <c r="L398" s="2">
        <f t="shared" si="45"/>
        <v>10</v>
      </c>
      <c r="M398" s="2">
        <f t="shared" si="46"/>
        <v>5</v>
      </c>
      <c r="N398" s="2">
        <f t="shared" si="47"/>
        <v>1</v>
      </c>
      <c r="O398" s="2">
        <f t="shared" si="48"/>
        <v>16</v>
      </c>
    </row>
    <row r="399" spans="1:15" ht="29" x14ac:dyDescent="0.35">
      <c r="A399" s="2" t="s">
        <v>548</v>
      </c>
      <c r="B399" s="2" t="s">
        <v>26</v>
      </c>
      <c r="C399" s="2" t="s">
        <v>468</v>
      </c>
      <c r="D399" s="2" t="s">
        <v>469</v>
      </c>
      <c r="E399" s="2" t="s">
        <v>549</v>
      </c>
      <c r="F399" s="2" t="s">
        <v>98</v>
      </c>
      <c r="G399" s="2" t="s">
        <v>21</v>
      </c>
      <c r="H399" s="2">
        <f>IF(C399="Dynasty Autographs",Calculator!$E$4,IF(C399="Debut Day Inscriptions",Calculator!$E$5,IFERROR(VALUE(SUBSTITUTE(F399,"/","")),0)))</f>
        <v>10</v>
      </c>
      <c r="I399" s="2">
        <f t="shared" si="42"/>
        <v>0</v>
      </c>
      <c r="J399" s="2">
        <f t="shared" si="43"/>
        <v>0</v>
      </c>
      <c r="K399" s="2">
        <f t="shared" si="44"/>
        <v>0</v>
      </c>
      <c r="L399" s="2">
        <f t="shared" si="45"/>
        <v>10</v>
      </c>
      <c r="M399" s="2">
        <f t="shared" si="46"/>
        <v>5</v>
      </c>
      <c r="N399" s="2">
        <f t="shared" si="47"/>
        <v>1</v>
      </c>
      <c r="O399" s="2">
        <f t="shared" si="48"/>
        <v>16</v>
      </c>
    </row>
    <row r="400" spans="1:15" ht="29" x14ac:dyDescent="0.35">
      <c r="A400" s="2" t="s">
        <v>548</v>
      </c>
      <c r="B400" s="2" t="s">
        <v>26</v>
      </c>
      <c r="C400" s="2" t="s">
        <v>468</v>
      </c>
      <c r="D400" s="2" t="s">
        <v>469</v>
      </c>
      <c r="E400" s="2" t="s">
        <v>550</v>
      </c>
      <c r="F400" s="2" t="s">
        <v>98</v>
      </c>
      <c r="G400" s="2" t="s">
        <v>21</v>
      </c>
      <c r="H400" s="2">
        <f>IF(C400="Dynasty Autographs",Calculator!$E$4,IF(C400="Debut Day Inscriptions",Calculator!$E$5,IFERROR(VALUE(SUBSTITUTE(F400,"/","")),0)))</f>
        <v>10</v>
      </c>
      <c r="I400" s="2">
        <f t="shared" si="42"/>
        <v>0</v>
      </c>
      <c r="J400" s="2">
        <f t="shared" si="43"/>
        <v>0</v>
      </c>
      <c r="K400" s="2">
        <f t="shared" si="44"/>
        <v>0</v>
      </c>
      <c r="L400" s="2">
        <f t="shared" si="45"/>
        <v>10</v>
      </c>
      <c r="M400" s="2">
        <f t="shared" si="46"/>
        <v>5</v>
      </c>
      <c r="N400" s="2">
        <f t="shared" si="47"/>
        <v>1</v>
      </c>
      <c r="O400" s="2">
        <f t="shared" si="48"/>
        <v>16</v>
      </c>
    </row>
    <row r="401" spans="1:15" ht="29" x14ac:dyDescent="0.35">
      <c r="A401" s="2" t="s">
        <v>548</v>
      </c>
      <c r="B401" s="2" t="s">
        <v>26</v>
      </c>
      <c r="C401" s="2" t="s">
        <v>468</v>
      </c>
      <c r="D401" s="2" t="s">
        <v>469</v>
      </c>
      <c r="E401" s="2" t="s">
        <v>551</v>
      </c>
      <c r="F401" s="2" t="s">
        <v>98</v>
      </c>
      <c r="G401" s="2" t="s">
        <v>21</v>
      </c>
      <c r="H401" s="2">
        <f>IF(C401="Dynasty Autographs",Calculator!$E$4,IF(C401="Debut Day Inscriptions",Calculator!$E$5,IFERROR(VALUE(SUBSTITUTE(F401,"/","")),0)))</f>
        <v>10</v>
      </c>
      <c r="I401" s="2">
        <f t="shared" si="42"/>
        <v>0</v>
      </c>
      <c r="J401" s="2">
        <f t="shared" si="43"/>
        <v>0</v>
      </c>
      <c r="K401" s="2">
        <f t="shared" si="44"/>
        <v>0</v>
      </c>
      <c r="L401" s="2">
        <f t="shared" si="45"/>
        <v>10</v>
      </c>
      <c r="M401" s="2">
        <f t="shared" si="46"/>
        <v>5</v>
      </c>
      <c r="N401" s="2">
        <f t="shared" si="47"/>
        <v>1</v>
      </c>
      <c r="O401" s="2">
        <f t="shared" si="48"/>
        <v>16</v>
      </c>
    </row>
    <row r="402" spans="1:15" ht="29" x14ac:dyDescent="0.35">
      <c r="A402" s="2" t="s">
        <v>548</v>
      </c>
      <c r="B402" s="2" t="s">
        <v>26</v>
      </c>
      <c r="C402" s="2" t="s">
        <v>468</v>
      </c>
      <c r="D402" s="2" t="s">
        <v>469</v>
      </c>
      <c r="E402" s="2" t="s">
        <v>552</v>
      </c>
      <c r="F402" s="2" t="s">
        <v>98</v>
      </c>
      <c r="G402" s="2" t="s">
        <v>21</v>
      </c>
      <c r="H402" s="2">
        <f>IF(C402="Dynasty Autographs",Calculator!$E$4,IF(C402="Debut Day Inscriptions",Calculator!$E$5,IFERROR(VALUE(SUBSTITUTE(F402,"/","")),0)))</f>
        <v>10</v>
      </c>
      <c r="I402" s="2">
        <f t="shared" si="42"/>
        <v>0</v>
      </c>
      <c r="J402" s="2">
        <f t="shared" si="43"/>
        <v>0</v>
      </c>
      <c r="K402" s="2">
        <f t="shared" si="44"/>
        <v>0</v>
      </c>
      <c r="L402" s="2">
        <f t="shared" si="45"/>
        <v>10</v>
      </c>
      <c r="M402" s="2">
        <f t="shared" si="46"/>
        <v>5</v>
      </c>
      <c r="N402" s="2">
        <f t="shared" si="47"/>
        <v>1</v>
      </c>
      <c r="O402" s="2">
        <f t="shared" si="48"/>
        <v>16</v>
      </c>
    </row>
    <row r="403" spans="1:15" ht="29" x14ac:dyDescent="0.35">
      <c r="A403" s="2" t="s">
        <v>141</v>
      </c>
      <c r="B403" s="2" t="s">
        <v>142</v>
      </c>
      <c r="C403" s="2" t="s">
        <v>468</v>
      </c>
      <c r="D403" s="2" t="s">
        <v>469</v>
      </c>
      <c r="E403" s="2" t="s">
        <v>553</v>
      </c>
      <c r="F403" s="2" t="s">
        <v>98</v>
      </c>
      <c r="G403" s="2" t="s">
        <v>21</v>
      </c>
      <c r="H403" s="2">
        <f>IF(C403="Dynasty Autographs",Calculator!$E$4,IF(C403="Debut Day Inscriptions",Calculator!$E$5,IFERROR(VALUE(SUBSTITUTE(F403,"/","")),0)))</f>
        <v>10</v>
      </c>
      <c r="I403" s="2">
        <f t="shared" si="42"/>
        <v>0</v>
      </c>
      <c r="J403" s="2">
        <f t="shared" si="43"/>
        <v>0</v>
      </c>
      <c r="K403" s="2">
        <f t="shared" si="44"/>
        <v>0</v>
      </c>
      <c r="L403" s="2">
        <f t="shared" si="45"/>
        <v>10</v>
      </c>
      <c r="M403" s="2">
        <f t="shared" si="46"/>
        <v>5</v>
      </c>
      <c r="N403" s="2">
        <f t="shared" si="47"/>
        <v>1</v>
      </c>
      <c r="O403" s="2">
        <f t="shared" si="48"/>
        <v>16</v>
      </c>
    </row>
    <row r="404" spans="1:15" ht="29" x14ac:dyDescent="0.35">
      <c r="A404" s="2" t="s">
        <v>141</v>
      </c>
      <c r="B404" s="2" t="s">
        <v>142</v>
      </c>
      <c r="C404" s="2" t="s">
        <v>468</v>
      </c>
      <c r="D404" s="2" t="s">
        <v>469</v>
      </c>
      <c r="E404" s="2" t="s">
        <v>554</v>
      </c>
      <c r="F404" s="2" t="s">
        <v>98</v>
      </c>
      <c r="G404" s="2" t="s">
        <v>21</v>
      </c>
      <c r="H404" s="2">
        <f>IF(C404="Dynasty Autographs",Calculator!$E$4,IF(C404="Debut Day Inscriptions",Calculator!$E$5,IFERROR(VALUE(SUBSTITUTE(F404,"/","")),0)))</f>
        <v>10</v>
      </c>
      <c r="I404" s="2">
        <f t="shared" si="42"/>
        <v>0</v>
      </c>
      <c r="J404" s="2">
        <f t="shared" si="43"/>
        <v>0</v>
      </c>
      <c r="K404" s="2">
        <f t="shared" si="44"/>
        <v>0</v>
      </c>
      <c r="L404" s="2">
        <f t="shared" si="45"/>
        <v>10</v>
      </c>
      <c r="M404" s="2">
        <f t="shared" si="46"/>
        <v>5</v>
      </c>
      <c r="N404" s="2">
        <f t="shared" si="47"/>
        <v>1</v>
      </c>
      <c r="O404" s="2">
        <f t="shared" si="48"/>
        <v>16</v>
      </c>
    </row>
    <row r="405" spans="1:15" ht="29" x14ac:dyDescent="0.35">
      <c r="A405" s="2" t="s">
        <v>141</v>
      </c>
      <c r="B405" s="2" t="s">
        <v>142</v>
      </c>
      <c r="C405" s="2" t="s">
        <v>468</v>
      </c>
      <c r="D405" s="2" t="s">
        <v>469</v>
      </c>
      <c r="E405" s="2" t="s">
        <v>555</v>
      </c>
      <c r="F405" s="2" t="s">
        <v>98</v>
      </c>
      <c r="G405" s="2" t="s">
        <v>21</v>
      </c>
      <c r="H405" s="2">
        <f>IF(C405="Dynasty Autographs",Calculator!$E$4,IF(C405="Debut Day Inscriptions",Calculator!$E$5,IFERROR(VALUE(SUBSTITUTE(F405,"/","")),0)))</f>
        <v>10</v>
      </c>
      <c r="I405" s="2">
        <f t="shared" si="42"/>
        <v>0</v>
      </c>
      <c r="J405" s="2">
        <f t="shared" si="43"/>
        <v>0</v>
      </c>
      <c r="K405" s="2">
        <f t="shared" si="44"/>
        <v>0</v>
      </c>
      <c r="L405" s="2">
        <f t="shared" si="45"/>
        <v>10</v>
      </c>
      <c r="M405" s="2">
        <f t="shared" si="46"/>
        <v>5</v>
      </c>
      <c r="N405" s="2">
        <f t="shared" si="47"/>
        <v>1</v>
      </c>
      <c r="O405" s="2">
        <f t="shared" si="48"/>
        <v>16</v>
      </c>
    </row>
    <row r="406" spans="1:15" ht="29" x14ac:dyDescent="0.35">
      <c r="A406" s="2" t="s">
        <v>141</v>
      </c>
      <c r="B406" s="2" t="s">
        <v>142</v>
      </c>
      <c r="C406" s="2" t="s">
        <v>468</v>
      </c>
      <c r="D406" s="2" t="s">
        <v>469</v>
      </c>
      <c r="E406" s="2" t="s">
        <v>556</v>
      </c>
      <c r="F406" s="2" t="s">
        <v>98</v>
      </c>
      <c r="G406" s="2" t="s">
        <v>21</v>
      </c>
      <c r="H406" s="2">
        <f>IF(C406="Dynasty Autographs",Calculator!$E$4,IF(C406="Debut Day Inscriptions",Calculator!$E$5,IFERROR(VALUE(SUBSTITUTE(F406,"/","")),0)))</f>
        <v>10</v>
      </c>
      <c r="I406" s="2">
        <f t="shared" si="42"/>
        <v>0</v>
      </c>
      <c r="J406" s="2">
        <f t="shared" si="43"/>
        <v>0</v>
      </c>
      <c r="K406" s="2">
        <f t="shared" si="44"/>
        <v>0</v>
      </c>
      <c r="L406" s="2">
        <f t="shared" si="45"/>
        <v>10</v>
      </c>
      <c r="M406" s="2">
        <f t="shared" si="46"/>
        <v>5</v>
      </c>
      <c r="N406" s="2">
        <f t="shared" si="47"/>
        <v>1</v>
      </c>
      <c r="O406" s="2">
        <f t="shared" si="48"/>
        <v>16</v>
      </c>
    </row>
    <row r="407" spans="1:15" ht="29" x14ac:dyDescent="0.35">
      <c r="A407" s="2" t="s">
        <v>505</v>
      </c>
      <c r="B407" s="2" t="s">
        <v>52</v>
      </c>
      <c r="C407" s="2" t="s">
        <v>468</v>
      </c>
      <c r="D407" s="2" t="s">
        <v>469</v>
      </c>
      <c r="E407" s="2" t="s">
        <v>557</v>
      </c>
      <c r="F407" s="2" t="s">
        <v>98</v>
      </c>
      <c r="G407" s="2" t="s">
        <v>21</v>
      </c>
      <c r="H407" s="2">
        <f>IF(C407="Dynasty Autographs",Calculator!$E$4,IF(C407="Debut Day Inscriptions",Calculator!$E$5,IFERROR(VALUE(SUBSTITUTE(F407,"/","")),0)))</f>
        <v>10</v>
      </c>
      <c r="I407" s="2">
        <f t="shared" si="42"/>
        <v>0</v>
      </c>
      <c r="J407" s="2">
        <f t="shared" si="43"/>
        <v>0</v>
      </c>
      <c r="K407" s="2">
        <f t="shared" si="44"/>
        <v>0</v>
      </c>
      <c r="L407" s="2">
        <f t="shared" si="45"/>
        <v>10</v>
      </c>
      <c r="M407" s="2">
        <f t="shared" si="46"/>
        <v>5</v>
      </c>
      <c r="N407" s="2">
        <f t="shared" si="47"/>
        <v>1</v>
      </c>
      <c r="O407" s="2">
        <f t="shared" si="48"/>
        <v>16</v>
      </c>
    </row>
    <row r="408" spans="1:15" ht="29" x14ac:dyDescent="0.35">
      <c r="A408" s="2" t="s">
        <v>505</v>
      </c>
      <c r="B408" s="2" t="s">
        <v>52</v>
      </c>
      <c r="C408" s="2" t="s">
        <v>468</v>
      </c>
      <c r="D408" s="2" t="s">
        <v>469</v>
      </c>
      <c r="E408" s="2" t="s">
        <v>558</v>
      </c>
      <c r="F408" s="2" t="s">
        <v>98</v>
      </c>
      <c r="G408" s="2" t="s">
        <v>21</v>
      </c>
      <c r="H408" s="2">
        <f>IF(C408="Dynasty Autographs",Calculator!$E$4,IF(C408="Debut Day Inscriptions",Calculator!$E$5,IFERROR(VALUE(SUBSTITUTE(F408,"/","")),0)))</f>
        <v>10</v>
      </c>
      <c r="I408" s="2">
        <f t="shared" si="42"/>
        <v>0</v>
      </c>
      <c r="J408" s="2">
        <f t="shared" si="43"/>
        <v>0</v>
      </c>
      <c r="K408" s="2">
        <f t="shared" si="44"/>
        <v>0</v>
      </c>
      <c r="L408" s="2">
        <f t="shared" si="45"/>
        <v>10</v>
      </c>
      <c r="M408" s="2">
        <f t="shared" si="46"/>
        <v>5</v>
      </c>
      <c r="N408" s="2">
        <f t="shared" si="47"/>
        <v>1</v>
      </c>
      <c r="O408" s="2">
        <f t="shared" si="48"/>
        <v>16</v>
      </c>
    </row>
    <row r="409" spans="1:15" ht="29" x14ac:dyDescent="0.35">
      <c r="A409" s="2" t="s">
        <v>505</v>
      </c>
      <c r="B409" s="2" t="s">
        <v>52</v>
      </c>
      <c r="C409" s="2" t="s">
        <v>468</v>
      </c>
      <c r="D409" s="2" t="s">
        <v>469</v>
      </c>
      <c r="E409" s="2" t="s">
        <v>559</v>
      </c>
      <c r="F409" s="2" t="s">
        <v>98</v>
      </c>
      <c r="G409" s="2" t="s">
        <v>21</v>
      </c>
      <c r="H409" s="2">
        <f>IF(C409="Dynasty Autographs",Calculator!$E$4,IF(C409="Debut Day Inscriptions",Calculator!$E$5,IFERROR(VALUE(SUBSTITUTE(F409,"/","")),0)))</f>
        <v>10</v>
      </c>
      <c r="I409" s="2">
        <f t="shared" si="42"/>
        <v>0</v>
      </c>
      <c r="J409" s="2">
        <f t="shared" si="43"/>
        <v>0</v>
      </c>
      <c r="K409" s="2">
        <f t="shared" si="44"/>
        <v>0</v>
      </c>
      <c r="L409" s="2">
        <f t="shared" si="45"/>
        <v>10</v>
      </c>
      <c r="M409" s="2">
        <f t="shared" si="46"/>
        <v>5</v>
      </c>
      <c r="N409" s="2">
        <f t="shared" si="47"/>
        <v>1</v>
      </c>
      <c r="O409" s="2">
        <f t="shared" si="48"/>
        <v>16</v>
      </c>
    </row>
    <row r="410" spans="1:15" ht="29" x14ac:dyDescent="0.35">
      <c r="A410" s="2" t="s">
        <v>322</v>
      </c>
      <c r="B410" s="2" t="s">
        <v>16</v>
      </c>
      <c r="C410" s="2" t="s">
        <v>468</v>
      </c>
      <c r="D410" s="2" t="s">
        <v>469</v>
      </c>
      <c r="E410" s="2" t="s">
        <v>560</v>
      </c>
      <c r="F410" s="2" t="s">
        <v>98</v>
      </c>
      <c r="G410" s="2" t="s">
        <v>21</v>
      </c>
      <c r="H410" s="2">
        <f>IF(C410="Dynasty Autographs",Calculator!$E$4,IF(C410="Debut Day Inscriptions",Calculator!$E$5,IFERROR(VALUE(SUBSTITUTE(F410,"/","")),0)))</f>
        <v>10</v>
      </c>
      <c r="I410" s="2">
        <f t="shared" si="42"/>
        <v>0</v>
      </c>
      <c r="J410" s="2">
        <f t="shared" si="43"/>
        <v>0</v>
      </c>
      <c r="K410" s="2">
        <f t="shared" si="44"/>
        <v>0</v>
      </c>
      <c r="L410" s="2">
        <f t="shared" si="45"/>
        <v>10</v>
      </c>
      <c r="M410" s="2">
        <f t="shared" si="46"/>
        <v>5</v>
      </c>
      <c r="N410" s="2">
        <f t="shared" si="47"/>
        <v>1</v>
      </c>
      <c r="O410" s="2">
        <f t="shared" si="48"/>
        <v>16</v>
      </c>
    </row>
    <row r="411" spans="1:15" ht="29" x14ac:dyDescent="0.35">
      <c r="A411" s="2" t="s">
        <v>322</v>
      </c>
      <c r="B411" s="2" t="s">
        <v>16</v>
      </c>
      <c r="C411" s="2" t="s">
        <v>468</v>
      </c>
      <c r="D411" s="2" t="s">
        <v>469</v>
      </c>
      <c r="E411" s="2" t="s">
        <v>561</v>
      </c>
      <c r="F411" s="2" t="s">
        <v>98</v>
      </c>
      <c r="G411" s="2" t="s">
        <v>21</v>
      </c>
      <c r="H411" s="2">
        <f>IF(C411="Dynasty Autographs",Calculator!$E$4,IF(C411="Debut Day Inscriptions",Calculator!$E$5,IFERROR(VALUE(SUBSTITUTE(F411,"/","")),0)))</f>
        <v>10</v>
      </c>
      <c r="I411" s="2">
        <f t="shared" si="42"/>
        <v>0</v>
      </c>
      <c r="J411" s="2">
        <f t="shared" si="43"/>
        <v>0</v>
      </c>
      <c r="K411" s="2">
        <f t="shared" si="44"/>
        <v>0</v>
      </c>
      <c r="L411" s="2">
        <f t="shared" si="45"/>
        <v>10</v>
      </c>
      <c r="M411" s="2">
        <f t="shared" si="46"/>
        <v>5</v>
      </c>
      <c r="N411" s="2">
        <f t="shared" si="47"/>
        <v>1</v>
      </c>
      <c r="O411" s="2">
        <f t="shared" si="48"/>
        <v>16</v>
      </c>
    </row>
    <row r="412" spans="1:15" ht="29" x14ac:dyDescent="0.35">
      <c r="A412" s="2" t="s">
        <v>322</v>
      </c>
      <c r="B412" s="2" t="s">
        <v>16</v>
      </c>
      <c r="C412" s="2" t="s">
        <v>468</v>
      </c>
      <c r="D412" s="2" t="s">
        <v>469</v>
      </c>
      <c r="E412" s="2" t="s">
        <v>562</v>
      </c>
      <c r="F412" s="2" t="s">
        <v>98</v>
      </c>
      <c r="G412" s="2" t="s">
        <v>21</v>
      </c>
      <c r="H412" s="2">
        <f>IF(C412="Dynasty Autographs",Calculator!$E$4,IF(C412="Debut Day Inscriptions",Calculator!$E$5,IFERROR(VALUE(SUBSTITUTE(F412,"/","")),0)))</f>
        <v>10</v>
      </c>
      <c r="I412" s="2">
        <f t="shared" si="42"/>
        <v>0</v>
      </c>
      <c r="J412" s="2">
        <f t="shared" si="43"/>
        <v>0</v>
      </c>
      <c r="K412" s="2">
        <f t="shared" si="44"/>
        <v>0</v>
      </c>
      <c r="L412" s="2">
        <f t="shared" si="45"/>
        <v>10</v>
      </c>
      <c r="M412" s="2">
        <f t="shared" si="46"/>
        <v>5</v>
      </c>
      <c r="N412" s="2">
        <f t="shared" si="47"/>
        <v>1</v>
      </c>
      <c r="O412" s="2">
        <f t="shared" si="48"/>
        <v>16</v>
      </c>
    </row>
    <row r="413" spans="1:15" ht="29" x14ac:dyDescent="0.35">
      <c r="A413" s="2" t="s">
        <v>65</v>
      </c>
      <c r="B413" s="2" t="s">
        <v>23</v>
      </c>
      <c r="C413" s="2" t="s">
        <v>468</v>
      </c>
      <c r="D413" s="2" t="s">
        <v>469</v>
      </c>
      <c r="E413" s="2" t="s">
        <v>563</v>
      </c>
      <c r="F413" s="2" t="s">
        <v>98</v>
      </c>
      <c r="G413" s="2" t="s">
        <v>21</v>
      </c>
      <c r="H413" s="2">
        <f>IF(C413="Dynasty Autographs",Calculator!$E$4,IF(C413="Debut Day Inscriptions",Calculator!$E$5,IFERROR(VALUE(SUBSTITUTE(F413,"/","")),0)))</f>
        <v>10</v>
      </c>
      <c r="I413" s="2">
        <f t="shared" si="42"/>
        <v>0</v>
      </c>
      <c r="J413" s="2">
        <f t="shared" si="43"/>
        <v>0</v>
      </c>
      <c r="K413" s="2">
        <f t="shared" si="44"/>
        <v>0</v>
      </c>
      <c r="L413" s="2">
        <f t="shared" si="45"/>
        <v>10</v>
      </c>
      <c r="M413" s="2">
        <f t="shared" si="46"/>
        <v>5</v>
      </c>
      <c r="N413" s="2">
        <f t="shared" si="47"/>
        <v>1</v>
      </c>
      <c r="O413" s="2">
        <f t="shared" si="48"/>
        <v>16</v>
      </c>
    </row>
    <row r="414" spans="1:15" ht="29" x14ac:dyDescent="0.35">
      <c r="A414" s="2" t="s">
        <v>65</v>
      </c>
      <c r="B414" s="2" t="s">
        <v>23</v>
      </c>
      <c r="C414" s="2" t="s">
        <v>468</v>
      </c>
      <c r="D414" s="2" t="s">
        <v>469</v>
      </c>
      <c r="E414" s="2" t="s">
        <v>564</v>
      </c>
      <c r="F414" s="2" t="s">
        <v>98</v>
      </c>
      <c r="G414" s="2" t="s">
        <v>21</v>
      </c>
      <c r="H414" s="2">
        <f>IF(C414="Dynasty Autographs",Calculator!$E$4,IF(C414="Debut Day Inscriptions",Calculator!$E$5,IFERROR(VALUE(SUBSTITUTE(F414,"/","")),0)))</f>
        <v>10</v>
      </c>
      <c r="I414" s="2">
        <f t="shared" si="42"/>
        <v>0</v>
      </c>
      <c r="J414" s="2">
        <f t="shared" si="43"/>
        <v>0</v>
      </c>
      <c r="K414" s="2">
        <f t="shared" si="44"/>
        <v>0</v>
      </c>
      <c r="L414" s="2">
        <f t="shared" si="45"/>
        <v>10</v>
      </c>
      <c r="M414" s="2">
        <f t="shared" si="46"/>
        <v>5</v>
      </c>
      <c r="N414" s="2">
        <f t="shared" si="47"/>
        <v>1</v>
      </c>
      <c r="O414" s="2">
        <f t="shared" si="48"/>
        <v>16</v>
      </c>
    </row>
    <row r="415" spans="1:15" ht="29" x14ac:dyDescent="0.35">
      <c r="A415" s="2" t="s">
        <v>565</v>
      </c>
      <c r="B415" s="2" t="s">
        <v>26</v>
      </c>
      <c r="C415" s="2" t="s">
        <v>468</v>
      </c>
      <c r="D415" s="2" t="s">
        <v>566</v>
      </c>
      <c r="E415" s="2" t="s">
        <v>567</v>
      </c>
      <c r="F415" s="2" t="s">
        <v>98</v>
      </c>
      <c r="G415" s="2" t="s">
        <v>21</v>
      </c>
      <c r="H415" s="2">
        <f>IF(C415="Dynasty Autographs",Calculator!$E$4,IF(C415="Debut Day Inscriptions",Calculator!$E$5,IFERROR(VALUE(SUBSTITUTE(F415,"/","")),0)))</f>
        <v>10</v>
      </c>
      <c r="I415" s="2">
        <f t="shared" si="42"/>
        <v>0</v>
      </c>
      <c r="J415" s="2">
        <f t="shared" si="43"/>
        <v>0</v>
      </c>
      <c r="K415" s="2">
        <f t="shared" si="44"/>
        <v>0</v>
      </c>
      <c r="L415" s="2">
        <f t="shared" si="45"/>
        <v>10</v>
      </c>
      <c r="M415" s="2">
        <f t="shared" si="46"/>
        <v>5</v>
      </c>
      <c r="N415" s="2">
        <f t="shared" si="47"/>
        <v>1</v>
      </c>
      <c r="O415" s="2">
        <f t="shared" si="48"/>
        <v>16</v>
      </c>
    </row>
    <row r="416" spans="1:15" ht="29" x14ac:dyDescent="0.35">
      <c r="A416" s="2" t="s">
        <v>565</v>
      </c>
      <c r="B416" s="2" t="s">
        <v>26</v>
      </c>
      <c r="C416" s="2" t="s">
        <v>468</v>
      </c>
      <c r="D416" s="2" t="s">
        <v>566</v>
      </c>
      <c r="E416" s="2" t="s">
        <v>568</v>
      </c>
      <c r="F416" s="2" t="s">
        <v>98</v>
      </c>
      <c r="G416" s="2" t="s">
        <v>21</v>
      </c>
      <c r="H416" s="2">
        <f>IF(C416="Dynasty Autographs",Calculator!$E$4,IF(C416="Debut Day Inscriptions",Calculator!$E$5,IFERROR(VALUE(SUBSTITUTE(F416,"/","")),0)))</f>
        <v>10</v>
      </c>
      <c r="I416" s="2">
        <f t="shared" si="42"/>
        <v>0</v>
      </c>
      <c r="J416" s="2">
        <f t="shared" si="43"/>
        <v>0</v>
      </c>
      <c r="K416" s="2">
        <f t="shared" si="44"/>
        <v>0</v>
      </c>
      <c r="L416" s="2">
        <f t="shared" si="45"/>
        <v>10</v>
      </c>
      <c r="M416" s="2">
        <f t="shared" si="46"/>
        <v>5</v>
      </c>
      <c r="N416" s="2">
        <f t="shared" si="47"/>
        <v>1</v>
      </c>
      <c r="O416" s="2">
        <f t="shared" si="48"/>
        <v>16</v>
      </c>
    </row>
    <row r="417" spans="1:15" ht="29" x14ac:dyDescent="0.35">
      <c r="A417" s="2" t="s">
        <v>565</v>
      </c>
      <c r="B417" s="2" t="s">
        <v>26</v>
      </c>
      <c r="C417" s="2" t="s">
        <v>468</v>
      </c>
      <c r="D417" s="2" t="s">
        <v>566</v>
      </c>
      <c r="E417" s="2" t="s">
        <v>569</v>
      </c>
      <c r="F417" s="2" t="s">
        <v>98</v>
      </c>
      <c r="G417" s="2" t="s">
        <v>21</v>
      </c>
      <c r="H417" s="2">
        <f>IF(C417="Dynasty Autographs",Calculator!$E$4,IF(C417="Debut Day Inscriptions",Calculator!$E$5,IFERROR(VALUE(SUBSTITUTE(F417,"/","")),0)))</f>
        <v>10</v>
      </c>
      <c r="I417" s="2">
        <f t="shared" si="42"/>
        <v>0</v>
      </c>
      <c r="J417" s="2">
        <f t="shared" si="43"/>
        <v>0</v>
      </c>
      <c r="K417" s="2">
        <f t="shared" si="44"/>
        <v>0</v>
      </c>
      <c r="L417" s="2">
        <f t="shared" si="45"/>
        <v>10</v>
      </c>
      <c r="M417" s="2">
        <f t="shared" si="46"/>
        <v>5</v>
      </c>
      <c r="N417" s="2">
        <f t="shared" si="47"/>
        <v>1</v>
      </c>
      <c r="O417" s="2">
        <f t="shared" si="48"/>
        <v>16</v>
      </c>
    </row>
    <row r="418" spans="1:15" ht="29" x14ac:dyDescent="0.35">
      <c r="A418" s="2" t="s">
        <v>565</v>
      </c>
      <c r="B418" s="2" t="s">
        <v>26</v>
      </c>
      <c r="C418" s="2" t="s">
        <v>468</v>
      </c>
      <c r="D418" s="2" t="s">
        <v>566</v>
      </c>
      <c r="E418" s="2" t="s">
        <v>570</v>
      </c>
      <c r="F418" s="2" t="s">
        <v>98</v>
      </c>
      <c r="G418" s="2" t="s">
        <v>21</v>
      </c>
      <c r="H418" s="2">
        <f>IF(C418="Dynasty Autographs",Calculator!$E$4,IF(C418="Debut Day Inscriptions",Calculator!$E$5,IFERROR(VALUE(SUBSTITUTE(F418,"/","")),0)))</f>
        <v>10</v>
      </c>
      <c r="I418" s="2">
        <f t="shared" si="42"/>
        <v>0</v>
      </c>
      <c r="J418" s="2">
        <f t="shared" si="43"/>
        <v>0</v>
      </c>
      <c r="K418" s="2">
        <f t="shared" si="44"/>
        <v>0</v>
      </c>
      <c r="L418" s="2">
        <f t="shared" si="45"/>
        <v>10</v>
      </c>
      <c r="M418" s="2">
        <f t="shared" si="46"/>
        <v>5</v>
      </c>
      <c r="N418" s="2">
        <f t="shared" si="47"/>
        <v>1</v>
      </c>
      <c r="O418" s="2">
        <f t="shared" si="48"/>
        <v>16</v>
      </c>
    </row>
    <row r="419" spans="1:15" ht="29" x14ac:dyDescent="0.35">
      <c r="A419" s="2" t="s">
        <v>396</v>
      </c>
      <c r="B419" s="2" t="s">
        <v>139</v>
      </c>
      <c r="C419" s="2" t="s">
        <v>468</v>
      </c>
      <c r="D419" s="2" t="s">
        <v>566</v>
      </c>
      <c r="E419" s="2" t="s">
        <v>571</v>
      </c>
      <c r="F419" s="2" t="s">
        <v>98</v>
      </c>
      <c r="G419" s="2" t="s">
        <v>21</v>
      </c>
      <c r="H419" s="2">
        <f>IF(C419="Dynasty Autographs",Calculator!$E$4,IF(C419="Debut Day Inscriptions",Calculator!$E$5,IFERROR(VALUE(SUBSTITUTE(F419,"/","")),0)))</f>
        <v>10</v>
      </c>
      <c r="I419" s="2">
        <f t="shared" si="42"/>
        <v>0</v>
      </c>
      <c r="J419" s="2">
        <f t="shared" si="43"/>
        <v>0</v>
      </c>
      <c r="K419" s="2">
        <f t="shared" si="44"/>
        <v>0</v>
      </c>
      <c r="L419" s="2">
        <f t="shared" si="45"/>
        <v>10</v>
      </c>
      <c r="M419" s="2">
        <f t="shared" si="46"/>
        <v>5</v>
      </c>
      <c r="N419" s="2">
        <f t="shared" si="47"/>
        <v>1</v>
      </c>
      <c r="O419" s="2">
        <f t="shared" si="48"/>
        <v>16</v>
      </c>
    </row>
    <row r="420" spans="1:15" ht="29" x14ac:dyDescent="0.35">
      <c r="A420" s="2" t="s">
        <v>396</v>
      </c>
      <c r="B420" s="2" t="s">
        <v>139</v>
      </c>
      <c r="C420" s="2" t="s">
        <v>468</v>
      </c>
      <c r="D420" s="2" t="s">
        <v>566</v>
      </c>
      <c r="E420" s="2" t="s">
        <v>572</v>
      </c>
      <c r="F420" s="2" t="s">
        <v>98</v>
      </c>
      <c r="G420" s="2" t="s">
        <v>21</v>
      </c>
      <c r="H420" s="2">
        <f>IF(C420="Dynasty Autographs",Calculator!$E$4,IF(C420="Debut Day Inscriptions",Calculator!$E$5,IFERROR(VALUE(SUBSTITUTE(F420,"/","")),0)))</f>
        <v>10</v>
      </c>
      <c r="I420" s="2">
        <f t="shared" si="42"/>
        <v>0</v>
      </c>
      <c r="J420" s="2">
        <f t="shared" si="43"/>
        <v>0</v>
      </c>
      <c r="K420" s="2">
        <f t="shared" si="44"/>
        <v>0</v>
      </c>
      <c r="L420" s="2">
        <f t="shared" si="45"/>
        <v>10</v>
      </c>
      <c r="M420" s="2">
        <f t="shared" si="46"/>
        <v>5</v>
      </c>
      <c r="N420" s="2">
        <f t="shared" si="47"/>
        <v>1</v>
      </c>
      <c r="O420" s="2">
        <f t="shared" si="48"/>
        <v>16</v>
      </c>
    </row>
    <row r="421" spans="1:15" ht="29" x14ac:dyDescent="0.35">
      <c r="A421" s="2" t="s">
        <v>396</v>
      </c>
      <c r="B421" s="2" t="s">
        <v>139</v>
      </c>
      <c r="C421" s="2" t="s">
        <v>468</v>
      </c>
      <c r="D421" s="2" t="s">
        <v>566</v>
      </c>
      <c r="E421" s="2" t="s">
        <v>573</v>
      </c>
      <c r="F421" s="2" t="s">
        <v>98</v>
      </c>
      <c r="G421" s="2" t="s">
        <v>21</v>
      </c>
      <c r="H421" s="2">
        <f>IF(C421="Dynasty Autographs",Calculator!$E$4,IF(C421="Debut Day Inscriptions",Calculator!$E$5,IFERROR(VALUE(SUBSTITUTE(F421,"/","")),0)))</f>
        <v>10</v>
      </c>
      <c r="I421" s="2">
        <f t="shared" si="42"/>
        <v>0</v>
      </c>
      <c r="J421" s="2">
        <f t="shared" si="43"/>
        <v>0</v>
      </c>
      <c r="K421" s="2">
        <f t="shared" si="44"/>
        <v>0</v>
      </c>
      <c r="L421" s="2">
        <f t="shared" si="45"/>
        <v>10</v>
      </c>
      <c r="M421" s="2">
        <f t="shared" si="46"/>
        <v>5</v>
      </c>
      <c r="N421" s="2">
        <f t="shared" si="47"/>
        <v>1</v>
      </c>
      <c r="O421" s="2">
        <f t="shared" si="48"/>
        <v>16</v>
      </c>
    </row>
    <row r="422" spans="1:15" ht="29" x14ac:dyDescent="0.35">
      <c r="A422" s="2" t="s">
        <v>396</v>
      </c>
      <c r="B422" s="2" t="s">
        <v>139</v>
      </c>
      <c r="C422" s="2" t="s">
        <v>468</v>
      </c>
      <c r="D422" s="2" t="s">
        <v>566</v>
      </c>
      <c r="E422" s="2" t="s">
        <v>574</v>
      </c>
      <c r="F422" s="2" t="s">
        <v>98</v>
      </c>
      <c r="G422" s="2" t="s">
        <v>21</v>
      </c>
      <c r="H422" s="2">
        <f>IF(C422="Dynasty Autographs",Calculator!$E$4,IF(C422="Debut Day Inscriptions",Calculator!$E$5,IFERROR(VALUE(SUBSTITUTE(F422,"/","")),0)))</f>
        <v>10</v>
      </c>
      <c r="I422" s="2">
        <f t="shared" si="42"/>
        <v>0</v>
      </c>
      <c r="J422" s="2">
        <f t="shared" si="43"/>
        <v>0</v>
      </c>
      <c r="K422" s="2">
        <f t="shared" si="44"/>
        <v>0</v>
      </c>
      <c r="L422" s="2">
        <f t="shared" si="45"/>
        <v>10</v>
      </c>
      <c r="M422" s="2">
        <f t="shared" si="46"/>
        <v>5</v>
      </c>
      <c r="N422" s="2">
        <f t="shared" si="47"/>
        <v>1</v>
      </c>
      <c r="O422" s="2">
        <f t="shared" si="48"/>
        <v>16</v>
      </c>
    </row>
    <row r="423" spans="1:15" ht="29" x14ac:dyDescent="0.35">
      <c r="A423" s="2" t="s">
        <v>357</v>
      </c>
      <c r="B423" s="2" t="s">
        <v>63</v>
      </c>
      <c r="C423" s="2" t="s">
        <v>468</v>
      </c>
      <c r="D423" s="2" t="s">
        <v>566</v>
      </c>
      <c r="E423" s="2" t="s">
        <v>575</v>
      </c>
      <c r="F423" s="2" t="s">
        <v>98</v>
      </c>
      <c r="G423" s="2" t="s">
        <v>21</v>
      </c>
      <c r="H423" s="2">
        <f>IF(C423="Dynasty Autographs",Calculator!$E$4,IF(C423="Debut Day Inscriptions",Calculator!$E$5,IFERROR(VALUE(SUBSTITUTE(F423,"/","")),0)))</f>
        <v>10</v>
      </c>
      <c r="I423" s="2">
        <f t="shared" si="42"/>
        <v>0</v>
      </c>
      <c r="J423" s="2">
        <f t="shared" si="43"/>
        <v>0</v>
      </c>
      <c r="K423" s="2">
        <f t="shared" si="44"/>
        <v>0</v>
      </c>
      <c r="L423" s="2">
        <f t="shared" si="45"/>
        <v>10</v>
      </c>
      <c r="M423" s="2">
        <f t="shared" si="46"/>
        <v>5</v>
      </c>
      <c r="N423" s="2">
        <f t="shared" si="47"/>
        <v>1</v>
      </c>
      <c r="O423" s="2">
        <f t="shared" si="48"/>
        <v>16</v>
      </c>
    </row>
    <row r="424" spans="1:15" ht="29" x14ac:dyDescent="0.35">
      <c r="A424" s="2" t="s">
        <v>357</v>
      </c>
      <c r="B424" s="2" t="s">
        <v>63</v>
      </c>
      <c r="C424" s="2" t="s">
        <v>468</v>
      </c>
      <c r="D424" s="2" t="s">
        <v>566</v>
      </c>
      <c r="E424" s="2" t="s">
        <v>576</v>
      </c>
      <c r="F424" s="2" t="s">
        <v>98</v>
      </c>
      <c r="G424" s="2" t="s">
        <v>21</v>
      </c>
      <c r="H424" s="2">
        <f>IF(C424="Dynasty Autographs",Calculator!$E$4,IF(C424="Debut Day Inscriptions",Calculator!$E$5,IFERROR(VALUE(SUBSTITUTE(F424,"/","")),0)))</f>
        <v>10</v>
      </c>
      <c r="I424" s="2">
        <f t="shared" si="42"/>
        <v>0</v>
      </c>
      <c r="J424" s="2">
        <f t="shared" si="43"/>
        <v>0</v>
      </c>
      <c r="K424" s="2">
        <f t="shared" si="44"/>
        <v>0</v>
      </c>
      <c r="L424" s="2">
        <f t="shared" si="45"/>
        <v>10</v>
      </c>
      <c r="M424" s="2">
        <f t="shared" si="46"/>
        <v>5</v>
      </c>
      <c r="N424" s="2">
        <f t="shared" si="47"/>
        <v>1</v>
      </c>
      <c r="O424" s="2">
        <f t="shared" si="48"/>
        <v>16</v>
      </c>
    </row>
    <row r="425" spans="1:15" ht="29" x14ac:dyDescent="0.35">
      <c r="A425" s="2" t="s">
        <v>357</v>
      </c>
      <c r="B425" s="2" t="s">
        <v>63</v>
      </c>
      <c r="C425" s="2" t="s">
        <v>468</v>
      </c>
      <c r="D425" s="2" t="s">
        <v>566</v>
      </c>
      <c r="E425" s="2" t="s">
        <v>577</v>
      </c>
      <c r="F425" s="2" t="s">
        <v>98</v>
      </c>
      <c r="G425" s="2" t="s">
        <v>21</v>
      </c>
      <c r="H425" s="2">
        <f>IF(C425="Dynasty Autographs",Calculator!$E$4,IF(C425="Debut Day Inscriptions",Calculator!$E$5,IFERROR(VALUE(SUBSTITUTE(F425,"/","")),0)))</f>
        <v>10</v>
      </c>
      <c r="I425" s="2">
        <f t="shared" si="42"/>
        <v>0</v>
      </c>
      <c r="J425" s="2">
        <f t="shared" si="43"/>
        <v>0</v>
      </c>
      <c r="K425" s="2">
        <f t="shared" si="44"/>
        <v>0</v>
      </c>
      <c r="L425" s="2">
        <f t="shared" si="45"/>
        <v>10</v>
      </c>
      <c r="M425" s="2">
        <f t="shared" si="46"/>
        <v>5</v>
      </c>
      <c r="N425" s="2">
        <f t="shared" si="47"/>
        <v>1</v>
      </c>
      <c r="O425" s="2">
        <f t="shared" si="48"/>
        <v>16</v>
      </c>
    </row>
    <row r="426" spans="1:15" ht="29" x14ac:dyDescent="0.35">
      <c r="A426" s="2" t="s">
        <v>357</v>
      </c>
      <c r="B426" s="2" t="s">
        <v>63</v>
      </c>
      <c r="C426" s="2" t="s">
        <v>468</v>
      </c>
      <c r="D426" s="2" t="s">
        <v>566</v>
      </c>
      <c r="E426" s="2" t="s">
        <v>578</v>
      </c>
      <c r="F426" s="2" t="s">
        <v>98</v>
      </c>
      <c r="G426" s="2" t="s">
        <v>21</v>
      </c>
      <c r="H426" s="2">
        <f>IF(C426="Dynasty Autographs",Calculator!$E$4,IF(C426="Debut Day Inscriptions",Calculator!$E$5,IFERROR(VALUE(SUBSTITUTE(F426,"/","")),0)))</f>
        <v>10</v>
      </c>
      <c r="I426" s="2">
        <f t="shared" si="42"/>
        <v>0</v>
      </c>
      <c r="J426" s="2">
        <f t="shared" si="43"/>
        <v>0</v>
      </c>
      <c r="K426" s="2">
        <f t="shared" si="44"/>
        <v>0</v>
      </c>
      <c r="L426" s="2">
        <f t="shared" si="45"/>
        <v>10</v>
      </c>
      <c r="M426" s="2">
        <f t="shared" si="46"/>
        <v>5</v>
      </c>
      <c r="N426" s="2">
        <f t="shared" si="47"/>
        <v>1</v>
      </c>
      <c r="O426" s="2">
        <f t="shared" si="48"/>
        <v>16</v>
      </c>
    </row>
    <row r="427" spans="1:15" ht="29" x14ac:dyDescent="0.35">
      <c r="A427" s="2" t="s">
        <v>367</v>
      </c>
      <c r="B427" s="2" t="s">
        <v>63</v>
      </c>
      <c r="C427" s="2" t="s">
        <v>468</v>
      </c>
      <c r="D427" s="2" t="s">
        <v>566</v>
      </c>
      <c r="E427" s="2" t="s">
        <v>579</v>
      </c>
      <c r="F427" s="2" t="s">
        <v>98</v>
      </c>
      <c r="G427" s="2" t="s">
        <v>21</v>
      </c>
      <c r="H427" s="2">
        <f>IF(C427="Dynasty Autographs",Calculator!$E$4,IF(C427="Debut Day Inscriptions",Calculator!$E$5,IFERROR(VALUE(SUBSTITUTE(F427,"/","")),0)))</f>
        <v>10</v>
      </c>
      <c r="I427" s="2">
        <f t="shared" si="42"/>
        <v>0</v>
      </c>
      <c r="J427" s="2">
        <f t="shared" si="43"/>
        <v>0</v>
      </c>
      <c r="K427" s="2">
        <f t="shared" si="44"/>
        <v>0</v>
      </c>
      <c r="L427" s="2">
        <f t="shared" si="45"/>
        <v>10</v>
      </c>
      <c r="M427" s="2">
        <f t="shared" si="46"/>
        <v>5</v>
      </c>
      <c r="N427" s="2">
        <f t="shared" si="47"/>
        <v>1</v>
      </c>
      <c r="O427" s="2">
        <f t="shared" si="48"/>
        <v>16</v>
      </c>
    </row>
    <row r="428" spans="1:15" ht="29" x14ac:dyDescent="0.35">
      <c r="A428" s="2" t="s">
        <v>367</v>
      </c>
      <c r="B428" s="2" t="s">
        <v>63</v>
      </c>
      <c r="C428" s="2" t="s">
        <v>468</v>
      </c>
      <c r="D428" s="2" t="s">
        <v>566</v>
      </c>
      <c r="E428" s="2" t="s">
        <v>580</v>
      </c>
      <c r="F428" s="2" t="s">
        <v>98</v>
      </c>
      <c r="G428" s="2" t="s">
        <v>21</v>
      </c>
      <c r="H428" s="2">
        <f>IF(C428="Dynasty Autographs",Calculator!$E$4,IF(C428="Debut Day Inscriptions",Calculator!$E$5,IFERROR(VALUE(SUBSTITUTE(F428,"/","")),0)))</f>
        <v>10</v>
      </c>
      <c r="I428" s="2">
        <f t="shared" si="42"/>
        <v>0</v>
      </c>
      <c r="J428" s="2">
        <f t="shared" si="43"/>
        <v>0</v>
      </c>
      <c r="K428" s="2">
        <f t="shared" si="44"/>
        <v>0</v>
      </c>
      <c r="L428" s="2">
        <f t="shared" si="45"/>
        <v>10</v>
      </c>
      <c r="M428" s="2">
        <f t="shared" si="46"/>
        <v>5</v>
      </c>
      <c r="N428" s="2">
        <f t="shared" si="47"/>
        <v>1</v>
      </c>
      <c r="O428" s="2">
        <f t="shared" si="48"/>
        <v>16</v>
      </c>
    </row>
    <row r="429" spans="1:15" ht="29" x14ac:dyDescent="0.35">
      <c r="A429" s="2" t="s">
        <v>581</v>
      </c>
      <c r="B429" s="2" t="s">
        <v>33</v>
      </c>
      <c r="C429" s="2" t="s">
        <v>468</v>
      </c>
      <c r="D429" s="2" t="s">
        <v>566</v>
      </c>
      <c r="E429" s="2" t="s">
        <v>582</v>
      </c>
      <c r="F429" s="2" t="s">
        <v>98</v>
      </c>
      <c r="G429" s="2" t="s">
        <v>21</v>
      </c>
      <c r="H429" s="2">
        <f>IF(C429="Dynasty Autographs",Calculator!$E$4,IF(C429="Debut Day Inscriptions",Calculator!$E$5,IFERROR(VALUE(SUBSTITUTE(F429,"/","")),0)))</f>
        <v>10</v>
      </c>
      <c r="I429" s="2">
        <f t="shared" si="42"/>
        <v>0</v>
      </c>
      <c r="J429" s="2">
        <f t="shared" si="43"/>
        <v>0</v>
      </c>
      <c r="K429" s="2">
        <f t="shared" si="44"/>
        <v>0</v>
      </c>
      <c r="L429" s="2">
        <f t="shared" si="45"/>
        <v>10</v>
      </c>
      <c r="M429" s="2">
        <f t="shared" si="46"/>
        <v>5</v>
      </c>
      <c r="N429" s="2">
        <f t="shared" si="47"/>
        <v>1</v>
      </c>
      <c r="O429" s="2">
        <f t="shared" si="48"/>
        <v>16</v>
      </c>
    </row>
    <row r="430" spans="1:15" ht="29" x14ac:dyDescent="0.35">
      <c r="A430" s="2" t="s">
        <v>581</v>
      </c>
      <c r="B430" s="2" t="s">
        <v>33</v>
      </c>
      <c r="C430" s="2" t="s">
        <v>468</v>
      </c>
      <c r="D430" s="2" t="s">
        <v>566</v>
      </c>
      <c r="E430" s="2" t="s">
        <v>583</v>
      </c>
      <c r="F430" s="2" t="s">
        <v>98</v>
      </c>
      <c r="G430" s="2" t="s">
        <v>21</v>
      </c>
      <c r="H430" s="2">
        <f>IF(C430="Dynasty Autographs",Calculator!$E$4,IF(C430="Debut Day Inscriptions",Calculator!$E$5,IFERROR(VALUE(SUBSTITUTE(F430,"/","")),0)))</f>
        <v>10</v>
      </c>
      <c r="I430" s="2">
        <f t="shared" si="42"/>
        <v>0</v>
      </c>
      <c r="J430" s="2">
        <f t="shared" si="43"/>
        <v>0</v>
      </c>
      <c r="K430" s="2">
        <f t="shared" si="44"/>
        <v>0</v>
      </c>
      <c r="L430" s="2">
        <f t="shared" si="45"/>
        <v>10</v>
      </c>
      <c r="M430" s="2">
        <f t="shared" si="46"/>
        <v>5</v>
      </c>
      <c r="N430" s="2">
        <f t="shared" si="47"/>
        <v>1</v>
      </c>
      <c r="O430" s="2">
        <f t="shared" si="48"/>
        <v>16</v>
      </c>
    </row>
    <row r="431" spans="1:15" ht="29" x14ac:dyDescent="0.35">
      <c r="A431" s="2" t="s">
        <v>581</v>
      </c>
      <c r="B431" s="2" t="s">
        <v>33</v>
      </c>
      <c r="C431" s="2" t="s">
        <v>468</v>
      </c>
      <c r="D431" s="2" t="s">
        <v>566</v>
      </c>
      <c r="E431" s="2" t="s">
        <v>584</v>
      </c>
      <c r="F431" s="2" t="s">
        <v>98</v>
      </c>
      <c r="G431" s="2" t="s">
        <v>21</v>
      </c>
      <c r="H431" s="2">
        <f>IF(C431="Dynasty Autographs",Calculator!$E$4,IF(C431="Debut Day Inscriptions",Calculator!$E$5,IFERROR(VALUE(SUBSTITUTE(F431,"/","")),0)))</f>
        <v>10</v>
      </c>
      <c r="I431" s="2">
        <f t="shared" si="42"/>
        <v>0</v>
      </c>
      <c r="J431" s="2">
        <f t="shared" si="43"/>
        <v>0</v>
      </c>
      <c r="K431" s="2">
        <f t="shared" si="44"/>
        <v>0</v>
      </c>
      <c r="L431" s="2">
        <f t="shared" si="45"/>
        <v>10</v>
      </c>
      <c r="M431" s="2">
        <f t="shared" si="46"/>
        <v>5</v>
      </c>
      <c r="N431" s="2">
        <f t="shared" si="47"/>
        <v>1</v>
      </c>
      <c r="O431" s="2">
        <f t="shared" si="48"/>
        <v>16</v>
      </c>
    </row>
    <row r="432" spans="1:15" ht="29" x14ac:dyDescent="0.35">
      <c r="A432" s="2" t="s">
        <v>581</v>
      </c>
      <c r="B432" s="2" t="s">
        <v>33</v>
      </c>
      <c r="C432" s="2" t="s">
        <v>468</v>
      </c>
      <c r="D432" s="2" t="s">
        <v>566</v>
      </c>
      <c r="E432" s="2" t="s">
        <v>585</v>
      </c>
      <c r="F432" s="2" t="s">
        <v>98</v>
      </c>
      <c r="G432" s="2" t="s">
        <v>21</v>
      </c>
      <c r="H432" s="2">
        <f>IF(C432="Dynasty Autographs",Calculator!$E$4,IF(C432="Debut Day Inscriptions",Calculator!$E$5,IFERROR(VALUE(SUBSTITUTE(F432,"/","")),0)))</f>
        <v>10</v>
      </c>
      <c r="I432" s="2">
        <f t="shared" si="42"/>
        <v>0</v>
      </c>
      <c r="J432" s="2">
        <f t="shared" si="43"/>
        <v>0</v>
      </c>
      <c r="K432" s="2">
        <f t="shared" si="44"/>
        <v>0</v>
      </c>
      <c r="L432" s="2">
        <f t="shared" si="45"/>
        <v>10</v>
      </c>
      <c r="M432" s="2">
        <f t="shared" si="46"/>
        <v>5</v>
      </c>
      <c r="N432" s="2">
        <f t="shared" si="47"/>
        <v>1</v>
      </c>
      <c r="O432" s="2">
        <f t="shared" si="48"/>
        <v>16</v>
      </c>
    </row>
    <row r="433" spans="1:15" ht="29" x14ac:dyDescent="0.35">
      <c r="A433" s="2" t="s">
        <v>586</v>
      </c>
      <c r="B433" s="2" t="s">
        <v>23</v>
      </c>
      <c r="C433" s="2" t="s">
        <v>468</v>
      </c>
      <c r="D433" s="2" t="s">
        <v>566</v>
      </c>
      <c r="E433" s="2" t="s">
        <v>587</v>
      </c>
      <c r="F433" s="2" t="s">
        <v>98</v>
      </c>
      <c r="G433" s="2" t="s">
        <v>21</v>
      </c>
      <c r="H433" s="2">
        <f>IF(C433="Dynasty Autographs",Calculator!$E$4,IF(C433="Debut Day Inscriptions",Calculator!$E$5,IFERROR(VALUE(SUBSTITUTE(F433,"/","")),0)))</f>
        <v>10</v>
      </c>
      <c r="I433" s="2">
        <f t="shared" si="42"/>
        <v>0</v>
      </c>
      <c r="J433" s="2">
        <f t="shared" si="43"/>
        <v>0</v>
      </c>
      <c r="K433" s="2">
        <f t="shared" si="44"/>
        <v>0</v>
      </c>
      <c r="L433" s="2">
        <f t="shared" si="45"/>
        <v>10</v>
      </c>
      <c r="M433" s="2">
        <f t="shared" si="46"/>
        <v>5</v>
      </c>
      <c r="N433" s="2">
        <f t="shared" si="47"/>
        <v>1</v>
      </c>
      <c r="O433" s="2">
        <f t="shared" si="48"/>
        <v>16</v>
      </c>
    </row>
    <row r="434" spans="1:15" ht="29" x14ac:dyDescent="0.35">
      <c r="A434" s="2" t="s">
        <v>586</v>
      </c>
      <c r="B434" s="2" t="s">
        <v>23</v>
      </c>
      <c r="C434" s="2" t="s">
        <v>468</v>
      </c>
      <c r="D434" s="2" t="s">
        <v>566</v>
      </c>
      <c r="E434" s="2" t="s">
        <v>588</v>
      </c>
      <c r="F434" s="2" t="s">
        <v>98</v>
      </c>
      <c r="G434" s="2" t="s">
        <v>21</v>
      </c>
      <c r="H434" s="2">
        <f>IF(C434="Dynasty Autographs",Calculator!$E$4,IF(C434="Debut Day Inscriptions",Calculator!$E$5,IFERROR(VALUE(SUBSTITUTE(F434,"/","")),0)))</f>
        <v>10</v>
      </c>
      <c r="I434" s="2">
        <f t="shared" si="42"/>
        <v>0</v>
      </c>
      <c r="J434" s="2">
        <f t="shared" si="43"/>
        <v>0</v>
      </c>
      <c r="K434" s="2">
        <f t="shared" si="44"/>
        <v>0</v>
      </c>
      <c r="L434" s="2">
        <f t="shared" si="45"/>
        <v>10</v>
      </c>
      <c r="M434" s="2">
        <f t="shared" si="46"/>
        <v>5</v>
      </c>
      <c r="N434" s="2">
        <f t="shared" si="47"/>
        <v>1</v>
      </c>
      <c r="O434" s="2">
        <f t="shared" si="48"/>
        <v>16</v>
      </c>
    </row>
    <row r="435" spans="1:15" ht="29" x14ac:dyDescent="0.35">
      <c r="A435" s="2" t="s">
        <v>586</v>
      </c>
      <c r="B435" s="2" t="s">
        <v>23</v>
      </c>
      <c r="C435" s="2" t="s">
        <v>468</v>
      </c>
      <c r="D435" s="2" t="s">
        <v>566</v>
      </c>
      <c r="E435" s="2" t="s">
        <v>589</v>
      </c>
      <c r="F435" s="2" t="s">
        <v>98</v>
      </c>
      <c r="G435" s="2" t="s">
        <v>21</v>
      </c>
      <c r="H435" s="2">
        <f>IF(C435="Dynasty Autographs",Calculator!$E$4,IF(C435="Debut Day Inscriptions",Calculator!$E$5,IFERROR(VALUE(SUBSTITUTE(F435,"/","")),0)))</f>
        <v>10</v>
      </c>
      <c r="I435" s="2">
        <f t="shared" si="42"/>
        <v>0</v>
      </c>
      <c r="J435" s="2">
        <f t="shared" si="43"/>
        <v>0</v>
      </c>
      <c r="K435" s="2">
        <f t="shared" si="44"/>
        <v>0</v>
      </c>
      <c r="L435" s="2">
        <f t="shared" si="45"/>
        <v>10</v>
      </c>
      <c r="M435" s="2">
        <f t="shared" si="46"/>
        <v>5</v>
      </c>
      <c r="N435" s="2">
        <f t="shared" si="47"/>
        <v>1</v>
      </c>
      <c r="O435" s="2">
        <f t="shared" si="48"/>
        <v>16</v>
      </c>
    </row>
    <row r="436" spans="1:15" ht="29" x14ac:dyDescent="0.35">
      <c r="A436" s="2" t="s">
        <v>586</v>
      </c>
      <c r="B436" s="2" t="s">
        <v>23</v>
      </c>
      <c r="C436" s="2" t="s">
        <v>468</v>
      </c>
      <c r="D436" s="2" t="s">
        <v>566</v>
      </c>
      <c r="E436" s="2" t="s">
        <v>590</v>
      </c>
      <c r="F436" s="2" t="s">
        <v>98</v>
      </c>
      <c r="G436" s="2" t="s">
        <v>21</v>
      </c>
      <c r="H436" s="2">
        <f>IF(C436="Dynasty Autographs",Calculator!$E$4,IF(C436="Debut Day Inscriptions",Calculator!$E$5,IFERROR(VALUE(SUBSTITUTE(F436,"/","")),0)))</f>
        <v>10</v>
      </c>
      <c r="I436" s="2">
        <f t="shared" si="42"/>
        <v>0</v>
      </c>
      <c r="J436" s="2">
        <f t="shared" si="43"/>
        <v>0</v>
      </c>
      <c r="K436" s="2">
        <f t="shared" si="44"/>
        <v>0</v>
      </c>
      <c r="L436" s="2">
        <f t="shared" si="45"/>
        <v>10</v>
      </c>
      <c r="M436" s="2">
        <f t="shared" si="46"/>
        <v>5</v>
      </c>
      <c r="N436" s="2">
        <f t="shared" si="47"/>
        <v>1</v>
      </c>
      <c r="O436" s="2">
        <f t="shared" si="48"/>
        <v>16</v>
      </c>
    </row>
    <row r="437" spans="1:15" ht="29" x14ac:dyDescent="0.35">
      <c r="A437" s="2" t="s">
        <v>591</v>
      </c>
      <c r="B437" s="2" t="s">
        <v>42</v>
      </c>
      <c r="C437" s="2" t="s">
        <v>468</v>
      </c>
      <c r="D437" s="2" t="s">
        <v>566</v>
      </c>
      <c r="E437" s="2" t="s">
        <v>592</v>
      </c>
      <c r="F437" s="2" t="s">
        <v>98</v>
      </c>
      <c r="G437" s="2" t="s">
        <v>21</v>
      </c>
      <c r="H437" s="2">
        <f>IF(C437="Dynasty Autographs",Calculator!$E$4,IF(C437="Debut Day Inscriptions",Calculator!$E$5,IFERROR(VALUE(SUBSTITUTE(F437,"/","")),0)))</f>
        <v>10</v>
      </c>
      <c r="I437" s="2">
        <f t="shared" si="42"/>
        <v>0</v>
      </c>
      <c r="J437" s="2">
        <f t="shared" si="43"/>
        <v>0</v>
      </c>
      <c r="K437" s="2">
        <f t="shared" si="44"/>
        <v>0</v>
      </c>
      <c r="L437" s="2">
        <f t="shared" si="45"/>
        <v>10</v>
      </c>
      <c r="M437" s="2">
        <f t="shared" si="46"/>
        <v>5</v>
      </c>
      <c r="N437" s="2">
        <f t="shared" si="47"/>
        <v>1</v>
      </c>
      <c r="O437" s="2">
        <f t="shared" si="48"/>
        <v>16</v>
      </c>
    </row>
    <row r="438" spans="1:15" ht="29" x14ac:dyDescent="0.35">
      <c r="A438" s="2" t="s">
        <v>591</v>
      </c>
      <c r="B438" s="2" t="s">
        <v>42</v>
      </c>
      <c r="C438" s="2" t="s">
        <v>468</v>
      </c>
      <c r="D438" s="2" t="s">
        <v>566</v>
      </c>
      <c r="E438" s="2" t="s">
        <v>593</v>
      </c>
      <c r="F438" s="2" t="s">
        <v>98</v>
      </c>
      <c r="G438" s="2" t="s">
        <v>21</v>
      </c>
      <c r="H438" s="2">
        <f>IF(C438="Dynasty Autographs",Calculator!$E$4,IF(C438="Debut Day Inscriptions",Calculator!$E$5,IFERROR(VALUE(SUBSTITUTE(F438,"/","")),0)))</f>
        <v>10</v>
      </c>
      <c r="I438" s="2">
        <f t="shared" si="42"/>
        <v>0</v>
      </c>
      <c r="J438" s="2">
        <f t="shared" si="43"/>
        <v>0</v>
      </c>
      <c r="K438" s="2">
        <f t="shared" si="44"/>
        <v>0</v>
      </c>
      <c r="L438" s="2">
        <f t="shared" si="45"/>
        <v>10</v>
      </c>
      <c r="M438" s="2">
        <f t="shared" si="46"/>
        <v>5</v>
      </c>
      <c r="N438" s="2">
        <f t="shared" si="47"/>
        <v>1</v>
      </c>
      <c r="O438" s="2">
        <f t="shared" si="48"/>
        <v>16</v>
      </c>
    </row>
    <row r="439" spans="1:15" ht="29" x14ac:dyDescent="0.35">
      <c r="A439" s="2" t="s">
        <v>591</v>
      </c>
      <c r="B439" s="2" t="s">
        <v>42</v>
      </c>
      <c r="C439" s="2" t="s">
        <v>468</v>
      </c>
      <c r="D439" s="2" t="s">
        <v>566</v>
      </c>
      <c r="E439" s="2" t="s">
        <v>594</v>
      </c>
      <c r="F439" s="2" t="s">
        <v>98</v>
      </c>
      <c r="G439" s="2" t="s">
        <v>21</v>
      </c>
      <c r="H439" s="2">
        <f>IF(C439="Dynasty Autographs",Calculator!$E$4,IF(C439="Debut Day Inscriptions",Calculator!$E$5,IFERROR(VALUE(SUBSTITUTE(F439,"/","")),0)))</f>
        <v>10</v>
      </c>
      <c r="I439" s="2">
        <f t="shared" si="42"/>
        <v>0</v>
      </c>
      <c r="J439" s="2">
        <f t="shared" si="43"/>
        <v>0</v>
      </c>
      <c r="K439" s="2">
        <f t="shared" si="44"/>
        <v>0</v>
      </c>
      <c r="L439" s="2">
        <f t="shared" si="45"/>
        <v>10</v>
      </c>
      <c r="M439" s="2">
        <f t="shared" si="46"/>
        <v>5</v>
      </c>
      <c r="N439" s="2">
        <f t="shared" si="47"/>
        <v>1</v>
      </c>
      <c r="O439" s="2">
        <f t="shared" si="48"/>
        <v>16</v>
      </c>
    </row>
    <row r="440" spans="1:15" ht="29" x14ac:dyDescent="0.35">
      <c r="A440" s="2" t="s">
        <v>591</v>
      </c>
      <c r="B440" s="2" t="s">
        <v>42</v>
      </c>
      <c r="C440" s="2" t="s">
        <v>468</v>
      </c>
      <c r="D440" s="2" t="s">
        <v>566</v>
      </c>
      <c r="E440" s="2" t="s">
        <v>595</v>
      </c>
      <c r="F440" s="2" t="s">
        <v>98</v>
      </c>
      <c r="G440" s="2" t="s">
        <v>21</v>
      </c>
      <c r="H440" s="2">
        <f>IF(C440="Dynasty Autographs",Calculator!$E$4,IF(C440="Debut Day Inscriptions",Calculator!$E$5,IFERROR(VALUE(SUBSTITUTE(F440,"/","")),0)))</f>
        <v>10</v>
      </c>
      <c r="I440" s="2">
        <f t="shared" si="42"/>
        <v>0</v>
      </c>
      <c r="J440" s="2">
        <f t="shared" si="43"/>
        <v>0</v>
      </c>
      <c r="K440" s="2">
        <f t="shared" si="44"/>
        <v>0</v>
      </c>
      <c r="L440" s="2">
        <f t="shared" si="45"/>
        <v>10</v>
      </c>
      <c r="M440" s="2">
        <f t="shared" si="46"/>
        <v>5</v>
      </c>
      <c r="N440" s="2">
        <f t="shared" si="47"/>
        <v>1</v>
      </c>
      <c r="O440" s="2">
        <f t="shared" si="48"/>
        <v>16</v>
      </c>
    </row>
    <row r="441" spans="1:15" ht="29" x14ac:dyDescent="0.35">
      <c r="A441" s="2" t="s">
        <v>389</v>
      </c>
      <c r="B441" s="2" t="s">
        <v>33</v>
      </c>
      <c r="C441" s="2" t="s">
        <v>468</v>
      </c>
      <c r="D441" s="2" t="s">
        <v>566</v>
      </c>
      <c r="E441" s="2" t="s">
        <v>596</v>
      </c>
      <c r="F441" s="2" t="s">
        <v>98</v>
      </c>
      <c r="G441" s="2" t="s">
        <v>21</v>
      </c>
      <c r="H441" s="2">
        <f>IF(C441="Dynasty Autographs",Calculator!$E$4,IF(C441="Debut Day Inscriptions",Calculator!$E$5,IFERROR(VALUE(SUBSTITUTE(F441,"/","")),0)))</f>
        <v>10</v>
      </c>
      <c r="I441" s="2">
        <f t="shared" si="42"/>
        <v>0</v>
      </c>
      <c r="J441" s="2">
        <f t="shared" si="43"/>
        <v>0</v>
      </c>
      <c r="K441" s="2">
        <f t="shared" si="44"/>
        <v>0</v>
      </c>
      <c r="L441" s="2">
        <f t="shared" si="45"/>
        <v>10</v>
      </c>
      <c r="M441" s="2">
        <f t="shared" si="46"/>
        <v>5</v>
      </c>
      <c r="N441" s="2">
        <f t="shared" si="47"/>
        <v>1</v>
      </c>
      <c r="O441" s="2">
        <f t="shared" si="48"/>
        <v>16</v>
      </c>
    </row>
    <row r="442" spans="1:15" ht="29" x14ac:dyDescent="0.35">
      <c r="A442" s="2" t="s">
        <v>389</v>
      </c>
      <c r="B442" s="2" t="s">
        <v>33</v>
      </c>
      <c r="C442" s="2" t="s">
        <v>468</v>
      </c>
      <c r="D442" s="2" t="s">
        <v>566</v>
      </c>
      <c r="E442" s="2" t="s">
        <v>597</v>
      </c>
      <c r="F442" s="2" t="s">
        <v>98</v>
      </c>
      <c r="G442" s="2" t="s">
        <v>21</v>
      </c>
      <c r="H442" s="2">
        <f>IF(C442="Dynasty Autographs",Calculator!$E$4,IF(C442="Debut Day Inscriptions",Calculator!$E$5,IFERROR(VALUE(SUBSTITUTE(F442,"/","")),0)))</f>
        <v>10</v>
      </c>
      <c r="I442" s="2">
        <f t="shared" si="42"/>
        <v>0</v>
      </c>
      <c r="J442" s="2">
        <f t="shared" si="43"/>
        <v>0</v>
      </c>
      <c r="K442" s="2">
        <f t="shared" si="44"/>
        <v>0</v>
      </c>
      <c r="L442" s="2">
        <f t="shared" si="45"/>
        <v>10</v>
      </c>
      <c r="M442" s="2">
        <f t="shared" si="46"/>
        <v>5</v>
      </c>
      <c r="N442" s="2">
        <f t="shared" si="47"/>
        <v>1</v>
      </c>
      <c r="O442" s="2">
        <f t="shared" si="48"/>
        <v>16</v>
      </c>
    </row>
    <row r="443" spans="1:15" ht="29" x14ac:dyDescent="0.35">
      <c r="A443" s="2" t="s">
        <v>389</v>
      </c>
      <c r="B443" s="2" t="s">
        <v>33</v>
      </c>
      <c r="C443" s="2" t="s">
        <v>468</v>
      </c>
      <c r="D443" s="2" t="s">
        <v>566</v>
      </c>
      <c r="E443" s="2" t="s">
        <v>598</v>
      </c>
      <c r="F443" s="2" t="s">
        <v>98</v>
      </c>
      <c r="G443" s="2" t="s">
        <v>21</v>
      </c>
      <c r="H443" s="2">
        <f>IF(C443="Dynasty Autographs",Calculator!$E$4,IF(C443="Debut Day Inscriptions",Calculator!$E$5,IFERROR(VALUE(SUBSTITUTE(F443,"/","")),0)))</f>
        <v>10</v>
      </c>
      <c r="I443" s="2">
        <f t="shared" si="42"/>
        <v>0</v>
      </c>
      <c r="J443" s="2">
        <f t="shared" si="43"/>
        <v>0</v>
      </c>
      <c r="K443" s="2">
        <f t="shared" si="44"/>
        <v>0</v>
      </c>
      <c r="L443" s="2">
        <f t="shared" si="45"/>
        <v>10</v>
      </c>
      <c r="M443" s="2">
        <f t="shared" si="46"/>
        <v>5</v>
      </c>
      <c r="N443" s="2">
        <f t="shared" si="47"/>
        <v>1</v>
      </c>
      <c r="O443" s="2">
        <f t="shared" si="48"/>
        <v>16</v>
      </c>
    </row>
    <row r="444" spans="1:15" ht="29" x14ac:dyDescent="0.35">
      <c r="A444" s="2" t="s">
        <v>389</v>
      </c>
      <c r="B444" s="2" t="s">
        <v>33</v>
      </c>
      <c r="C444" s="2" t="s">
        <v>468</v>
      </c>
      <c r="D444" s="2" t="s">
        <v>566</v>
      </c>
      <c r="E444" s="2" t="s">
        <v>599</v>
      </c>
      <c r="F444" s="2" t="s">
        <v>98</v>
      </c>
      <c r="G444" s="2" t="s">
        <v>21</v>
      </c>
      <c r="H444" s="2">
        <f>IF(C444="Dynasty Autographs",Calculator!$E$4,IF(C444="Debut Day Inscriptions",Calculator!$E$5,IFERROR(VALUE(SUBSTITUTE(F444,"/","")),0)))</f>
        <v>10</v>
      </c>
      <c r="I444" s="2">
        <f t="shared" si="42"/>
        <v>0</v>
      </c>
      <c r="J444" s="2">
        <f t="shared" si="43"/>
        <v>0</v>
      </c>
      <c r="K444" s="2">
        <f t="shared" si="44"/>
        <v>0</v>
      </c>
      <c r="L444" s="2">
        <f t="shared" si="45"/>
        <v>10</v>
      </c>
      <c r="M444" s="2">
        <f t="shared" si="46"/>
        <v>5</v>
      </c>
      <c r="N444" s="2">
        <f t="shared" si="47"/>
        <v>1</v>
      </c>
      <c r="O444" s="2">
        <f t="shared" si="48"/>
        <v>16</v>
      </c>
    </row>
    <row r="445" spans="1:15" ht="29" x14ac:dyDescent="0.35">
      <c r="A445" s="2" t="s">
        <v>341</v>
      </c>
      <c r="B445" s="2" t="s">
        <v>63</v>
      </c>
      <c r="C445" s="2" t="s">
        <v>468</v>
      </c>
      <c r="D445" s="2" t="s">
        <v>566</v>
      </c>
      <c r="E445" s="2" t="s">
        <v>600</v>
      </c>
      <c r="F445" s="2" t="s">
        <v>98</v>
      </c>
      <c r="G445" s="2" t="s">
        <v>21</v>
      </c>
      <c r="H445" s="2">
        <f>IF(C445="Dynasty Autographs",Calculator!$E$4,IF(C445="Debut Day Inscriptions",Calculator!$E$5,IFERROR(VALUE(SUBSTITUTE(F445,"/","")),0)))</f>
        <v>10</v>
      </c>
      <c r="I445" s="2">
        <f t="shared" si="42"/>
        <v>0</v>
      </c>
      <c r="J445" s="2">
        <f t="shared" si="43"/>
        <v>0</v>
      </c>
      <c r="K445" s="2">
        <f t="shared" si="44"/>
        <v>0</v>
      </c>
      <c r="L445" s="2">
        <f t="shared" si="45"/>
        <v>10</v>
      </c>
      <c r="M445" s="2">
        <f t="shared" si="46"/>
        <v>5</v>
      </c>
      <c r="N445" s="2">
        <f t="shared" si="47"/>
        <v>1</v>
      </c>
      <c r="O445" s="2">
        <f t="shared" si="48"/>
        <v>16</v>
      </c>
    </row>
    <row r="446" spans="1:15" ht="29" x14ac:dyDescent="0.35">
      <c r="A446" s="2" t="s">
        <v>341</v>
      </c>
      <c r="B446" s="2" t="s">
        <v>63</v>
      </c>
      <c r="C446" s="2" t="s">
        <v>468</v>
      </c>
      <c r="D446" s="2" t="s">
        <v>566</v>
      </c>
      <c r="E446" s="2" t="s">
        <v>601</v>
      </c>
      <c r="F446" s="2" t="s">
        <v>98</v>
      </c>
      <c r="G446" s="2" t="s">
        <v>21</v>
      </c>
      <c r="H446" s="2">
        <f>IF(C446="Dynasty Autographs",Calculator!$E$4,IF(C446="Debut Day Inscriptions",Calculator!$E$5,IFERROR(VALUE(SUBSTITUTE(F446,"/","")),0)))</f>
        <v>10</v>
      </c>
      <c r="I446" s="2">
        <f t="shared" si="42"/>
        <v>0</v>
      </c>
      <c r="J446" s="2">
        <f t="shared" si="43"/>
        <v>0</v>
      </c>
      <c r="K446" s="2">
        <f t="shared" si="44"/>
        <v>0</v>
      </c>
      <c r="L446" s="2">
        <f t="shared" si="45"/>
        <v>10</v>
      </c>
      <c r="M446" s="2">
        <f t="shared" si="46"/>
        <v>5</v>
      </c>
      <c r="N446" s="2">
        <f t="shared" si="47"/>
        <v>1</v>
      </c>
      <c r="O446" s="2">
        <f t="shared" si="48"/>
        <v>16</v>
      </c>
    </row>
    <row r="447" spans="1:15" ht="29" x14ac:dyDescent="0.35">
      <c r="A447" s="2" t="s">
        <v>341</v>
      </c>
      <c r="B447" s="2" t="s">
        <v>63</v>
      </c>
      <c r="C447" s="2" t="s">
        <v>468</v>
      </c>
      <c r="D447" s="2" t="s">
        <v>566</v>
      </c>
      <c r="E447" s="2" t="s">
        <v>602</v>
      </c>
      <c r="F447" s="2" t="s">
        <v>98</v>
      </c>
      <c r="G447" s="2" t="s">
        <v>21</v>
      </c>
      <c r="H447" s="2">
        <f>IF(C447="Dynasty Autographs",Calculator!$E$4,IF(C447="Debut Day Inscriptions",Calculator!$E$5,IFERROR(VALUE(SUBSTITUTE(F447,"/","")),0)))</f>
        <v>10</v>
      </c>
      <c r="I447" s="2">
        <f t="shared" si="42"/>
        <v>0</v>
      </c>
      <c r="J447" s="2">
        <f t="shared" si="43"/>
        <v>0</v>
      </c>
      <c r="K447" s="2">
        <f t="shared" si="44"/>
        <v>0</v>
      </c>
      <c r="L447" s="2">
        <f t="shared" si="45"/>
        <v>10</v>
      </c>
      <c r="M447" s="2">
        <f t="shared" si="46"/>
        <v>5</v>
      </c>
      <c r="N447" s="2">
        <f t="shared" si="47"/>
        <v>1</v>
      </c>
      <c r="O447" s="2">
        <f t="shared" si="48"/>
        <v>16</v>
      </c>
    </row>
    <row r="448" spans="1:15" ht="29" x14ac:dyDescent="0.35">
      <c r="A448" s="2" t="s">
        <v>341</v>
      </c>
      <c r="B448" s="2" t="s">
        <v>63</v>
      </c>
      <c r="C448" s="2" t="s">
        <v>468</v>
      </c>
      <c r="D448" s="2" t="s">
        <v>566</v>
      </c>
      <c r="E448" s="2" t="s">
        <v>603</v>
      </c>
      <c r="F448" s="2" t="s">
        <v>98</v>
      </c>
      <c r="G448" s="2" t="s">
        <v>21</v>
      </c>
      <c r="H448" s="2">
        <f>IF(C448="Dynasty Autographs",Calculator!$E$4,IF(C448="Debut Day Inscriptions",Calculator!$E$5,IFERROR(VALUE(SUBSTITUTE(F448,"/","")),0)))</f>
        <v>10</v>
      </c>
      <c r="I448" s="2">
        <f t="shared" si="42"/>
        <v>0</v>
      </c>
      <c r="J448" s="2">
        <f t="shared" si="43"/>
        <v>0</v>
      </c>
      <c r="K448" s="2">
        <f t="shared" si="44"/>
        <v>0</v>
      </c>
      <c r="L448" s="2">
        <f t="shared" si="45"/>
        <v>10</v>
      </c>
      <c r="M448" s="2">
        <f t="shared" si="46"/>
        <v>5</v>
      </c>
      <c r="N448" s="2">
        <f t="shared" si="47"/>
        <v>1</v>
      </c>
      <c r="O448" s="2">
        <f t="shared" si="48"/>
        <v>16</v>
      </c>
    </row>
    <row r="449" spans="1:15" ht="29" x14ac:dyDescent="0.35">
      <c r="A449" s="2" t="s">
        <v>75</v>
      </c>
      <c r="B449" s="2" t="s">
        <v>76</v>
      </c>
      <c r="C449" s="2" t="s">
        <v>468</v>
      </c>
      <c r="D449" s="2" t="s">
        <v>566</v>
      </c>
      <c r="E449" s="2" t="s">
        <v>604</v>
      </c>
      <c r="F449" s="2" t="s">
        <v>98</v>
      </c>
      <c r="G449" s="2" t="s">
        <v>21</v>
      </c>
      <c r="H449" s="2">
        <f>IF(C449="Dynasty Autographs",Calculator!$E$4,IF(C449="Debut Day Inscriptions",Calculator!$E$5,IFERROR(VALUE(SUBSTITUTE(F449,"/","")),0)))</f>
        <v>10</v>
      </c>
      <c r="I449" s="2">
        <f t="shared" si="42"/>
        <v>0</v>
      </c>
      <c r="J449" s="2">
        <f t="shared" si="43"/>
        <v>0</v>
      </c>
      <c r="K449" s="2">
        <f t="shared" si="44"/>
        <v>0</v>
      </c>
      <c r="L449" s="2">
        <f t="shared" si="45"/>
        <v>10</v>
      </c>
      <c r="M449" s="2">
        <f t="shared" si="46"/>
        <v>5</v>
      </c>
      <c r="N449" s="2">
        <f t="shared" si="47"/>
        <v>1</v>
      </c>
      <c r="O449" s="2">
        <f t="shared" si="48"/>
        <v>16</v>
      </c>
    </row>
    <row r="450" spans="1:15" ht="29" x14ac:dyDescent="0.35">
      <c r="A450" s="2" t="s">
        <v>75</v>
      </c>
      <c r="B450" s="2" t="s">
        <v>76</v>
      </c>
      <c r="C450" s="2" t="s">
        <v>468</v>
      </c>
      <c r="D450" s="2" t="s">
        <v>566</v>
      </c>
      <c r="E450" s="2" t="s">
        <v>605</v>
      </c>
      <c r="F450" s="2" t="s">
        <v>98</v>
      </c>
      <c r="G450" s="2" t="s">
        <v>21</v>
      </c>
      <c r="H450" s="2">
        <f>IF(C450="Dynasty Autographs",Calculator!$E$4,IF(C450="Debut Day Inscriptions",Calculator!$E$5,IFERROR(VALUE(SUBSTITUTE(F450,"/","")),0)))</f>
        <v>10</v>
      </c>
      <c r="I450" s="2">
        <f t="shared" ref="I450:I513" si="49">IF(H450=99,99,IF(ISNUMBER(SEARCH("/99",G450)),99,0))</f>
        <v>0</v>
      </c>
      <c r="J450" s="2">
        <f t="shared" ref="J450:J513" si="50">IF(H450=50,50,IF(ISNUMBER(SEARCH("/50",G450)),50,0))</f>
        <v>0</v>
      </c>
      <c r="K450" s="2">
        <f t="shared" ref="K450:K513" si="51">IF(H450=25,25,IF(ISNUMBER(SEARCH("/25",G450)),25,0))</f>
        <v>0</v>
      </c>
      <c r="L450" s="2">
        <f t="shared" ref="L450:L513" si="52">IF(H450=10,10,IF(ISNUMBER(SEARCH("/10",G450)),10,0))</f>
        <v>10</v>
      </c>
      <c r="M450" s="2">
        <f t="shared" ref="M450:M513" si="53">IF(H450=5,5,IF(ISNUMBER(SEARCH("/5",G450)),5,0))</f>
        <v>5</v>
      </c>
      <c r="N450" s="2">
        <f t="shared" ref="N450:N513" si="54">IF(H450=1,1,IF(ISNUMBER(SEARCH("1/1",G450)),1,0))</f>
        <v>1</v>
      </c>
      <c r="O450" s="2">
        <f t="shared" ref="O450:O513" si="55">SUM(I450:N450)</f>
        <v>16</v>
      </c>
    </row>
    <row r="451" spans="1:15" ht="29" x14ac:dyDescent="0.35">
      <c r="A451" s="2" t="s">
        <v>84</v>
      </c>
      <c r="B451" s="2" t="s">
        <v>63</v>
      </c>
      <c r="C451" s="2" t="s">
        <v>468</v>
      </c>
      <c r="D451" s="2" t="s">
        <v>566</v>
      </c>
      <c r="E451" s="2" t="s">
        <v>606</v>
      </c>
      <c r="F451" s="2" t="s">
        <v>98</v>
      </c>
      <c r="G451" s="2" t="s">
        <v>21</v>
      </c>
      <c r="H451" s="2">
        <f>IF(C451="Dynasty Autographs",Calculator!$E$4,IF(C451="Debut Day Inscriptions",Calculator!$E$5,IFERROR(VALUE(SUBSTITUTE(F451,"/","")),0)))</f>
        <v>10</v>
      </c>
      <c r="I451" s="2">
        <f t="shared" si="49"/>
        <v>0</v>
      </c>
      <c r="J451" s="2">
        <f t="shared" si="50"/>
        <v>0</v>
      </c>
      <c r="K451" s="2">
        <f t="shared" si="51"/>
        <v>0</v>
      </c>
      <c r="L451" s="2">
        <f t="shared" si="52"/>
        <v>10</v>
      </c>
      <c r="M451" s="2">
        <f t="shared" si="53"/>
        <v>5</v>
      </c>
      <c r="N451" s="2">
        <f t="shared" si="54"/>
        <v>1</v>
      </c>
      <c r="O451" s="2">
        <f t="shared" si="55"/>
        <v>16</v>
      </c>
    </row>
    <row r="452" spans="1:15" ht="29" x14ac:dyDescent="0.35">
      <c r="A452" s="2" t="s">
        <v>84</v>
      </c>
      <c r="B452" s="2" t="s">
        <v>63</v>
      </c>
      <c r="C452" s="2" t="s">
        <v>468</v>
      </c>
      <c r="D452" s="2" t="s">
        <v>566</v>
      </c>
      <c r="E452" s="2" t="s">
        <v>607</v>
      </c>
      <c r="F452" s="2" t="s">
        <v>98</v>
      </c>
      <c r="G452" s="2" t="s">
        <v>21</v>
      </c>
      <c r="H452" s="2">
        <f>IF(C452="Dynasty Autographs",Calculator!$E$4,IF(C452="Debut Day Inscriptions",Calculator!$E$5,IFERROR(VALUE(SUBSTITUTE(F452,"/","")),0)))</f>
        <v>10</v>
      </c>
      <c r="I452" s="2">
        <f t="shared" si="49"/>
        <v>0</v>
      </c>
      <c r="J452" s="2">
        <f t="shared" si="50"/>
        <v>0</v>
      </c>
      <c r="K452" s="2">
        <f t="shared" si="51"/>
        <v>0</v>
      </c>
      <c r="L452" s="2">
        <f t="shared" si="52"/>
        <v>10</v>
      </c>
      <c r="M452" s="2">
        <f t="shared" si="53"/>
        <v>5</v>
      </c>
      <c r="N452" s="2">
        <f t="shared" si="54"/>
        <v>1</v>
      </c>
      <c r="O452" s="2">
        <f t="shared" si="55"/>
        <v>16</v>
      </c>
    </row>
    <row r="453" spans="1:15" ht="29" x14ac:dyDescent="0.35">
      <c r="A453" s="2" t="s">
        <v>84</v>
      </c>
      <c r="B453" s="2" t="s">
        <v>63</v>
      </c>
      <c r="C453" s="2" t="s">
        <v>468</v>
      </c>
      <c r="D453" s="2" t="s">
        <v>566</v>
      </c>
      <c r="E453" s="2" t="s">
        <v>608</v>
      </c>
      <c r="F453" s="2" t="s">
        <v>98</v>
      </c>
      <c r="G453" s="2" t="s">
        <v>21</v>
      </c>
      <c r="H453" s="2">
        <f>IF(C453="Dynasty Autographs",Calculator!$E$4,IF(C453="Debut Day Inscriptions",Calculator!$E$5,IFERROR(VALUE(SUBSTITUTE(F453,"/","")),0)))</f>
        <v>10</v>
      </c>
      <c r="I453" s="2">
        <f t="shared" si="49"/>
        <v>0</v>
      </c>
      <c r="J453" s="2">
        <f t="shared" si="50"/>
        <v>0</v>
      </c>
      <c r="K453" s="2">
        <f t="shared" si="51"/>
        <v>0</v>
      </c>
      <c r="L453" s="2">
        <f t="shared" si="52"/>
        <v>10</v>
      </c>
      <c r="M453" s="2">
        <f t="shared" si="53"/>
        <v>5</v>
      </c>
      <c r="N453" s="2">
        <f t="shared" si="54"/>
        <v>1</v>
      </c>
      <c r="O453" s="2">
        <f t="shared" si="55"/>
        <v>16</v>
      </c>
    </row>
    <row r="454" spans="1:15" ht="29" x14ac:dyDescent="0.35">
      <c r="A454" s="2" t="s">
        <v>84</v>
      </c>
      <c r="B454" s="2" t="s">
        <v>63</v>
      </c>
      <c r="C454" s="2" t="s">
        <v>468</v>
      </c>
      <c r="D454" s="2" t="s">
        <v>566</v>
      </c>
      <c r="E454" s="2" t="s">
        <v>609</v>
      </c>
      <c r="F454" s="2" t="s">
        <v>98</v>
      </c>
      <c r="G454" s="2" t="s">
        <v>21</v>
      </c>
      <c r="H454" s="2">
        <f>IF(C454="Dynasty Autographs",Calculator!$E$4,IF(C454="Debut Day Inscriptions",Calculator!$E$5,IFERROR(VALUE(SUBSTITUTE(F454,"/","")),0)))</f>
        <v>10</v>
      </c>
      <c r="I454" s="2">
        <f t="shared" si="49"/>
        <v>0</v>
      </c>
      <c r="J454" s="2">
        <f t="shared" si="50"/>
        <v>0</v>
      </c>
      <c r="K454" s="2">
        <f t="shared" si="51"/>
        <v>0</v>
      </c>
      <c r="L454" s="2">
        <f t="shared" si="52"/>
        <v>10</v>
      </c>
      <c r="M454" s="2">
        <f t="shared" si="53"/>
        <v>5</v>
      </c>
      <c r="N454" s="2">
        <f t="shared" si="54"/>
        <v>1</v>
      </c>
      <c r="O454" s="2">
        <f t="shared" si="55"/>
        <v>16</v>
      </c>
    </row>
    <row r="455" spans="1:15" ht="29" x14ac:dyDescent="0.35">
      <c r="A455" s="2" t="s">
        <v>440</v>
      </c>
      <c r="B455" s="2" t="s">
        <v>33</v>
      </c>
      <c r="C455" s="2" t="s">
        <v>468</v>
      </c>
      <c r="D455" s="2" t="s">
        <v>566</v>
      </c>
      <c r="E455" s="2" t="s">
        <v>610</v>
      </c>
      <c r="F455" s="2" t="s">
        <v>98</v>
      </c>
      <c r="G455" s="2" t="s">
        <v>21</v>
      </c>
      <c r="H455" s="2">
        <f>IF(C455="Dynasty Autographs",Calculator!$E$4,IF(C455="Debut Day Inscriptions",Calculator!$E$5,IFERROR(VALUE(SUBSTITUTE(F455,"/","")),0)))</f>
        <v>10</v>
      </c>
      <c r="I455" s="2">
        <f t="shared" si="49"/>
        <v>0</v>
      </c>
      <c r="J455" s="2">
        <f t="shared" si="50"/>
        <v>0</v>
      </c>
      <c r="K455" s="2">
        <f t="shared" si="51"/>
        <v>0</v>
      </c>
      <c r="L455" s="2">
        <f t="shared" si="52"/>
        <v>10</v>
      </c>
      <c r="M455" s="2">
        <f t="shared" si="53"/>
        <v>5</v>
      </c>
      <c r="N455" s="2">
        <f t="shared" si="54"/>
        <v>1</v>
      </c>
      <c r="O455" s="2">
        <f t="shared" si="55"/>
        <v>16</v>
      </c>
    </row>
    <row r="456" spans="1:15" ht="29" x14ac:dyDescent="0.35">
      <c r="A456" s="2" t="s">
        <v>440</v>
      </c>
      <c r="B456" s="2" t="s">
        <v>33</v>
      </c>
      <c r="C456" s="2" t="s">
        <v>468</v>
      </c>
      <c r="D456" s="2" t="s">
        <v>566</v>
      </c>
      <c r="E456" s="2" t="s">
        <v>611</v>
      </c>
      <c r="F456" s="2" t="s">
        <v>98</v>
      </c>
      <c r="G456" s="2" t="s">
        <v>21</v>
      </c>
      <c r="H456" s="2">
        <f>IF(C456="Dynasty Autographs",Calculator!$E$4,IF(C456="Debut Day Inscriptions",Calculator!$E$5,IFERROR(VALUE(SUBSTITUTE(F456,"/","")),0)))</f>
        <v>10</v>
      </c>
      <c r="I456" s="2">
        <f t="shared" si="49"/>
        <v>0</v>
      </c>
      <c r="J456" s="2">
        <f t="shared" si="50"/>
        <v>0</v>
      </c>
      <c r="K456" s="2">
        <f t="shared" si="51"/>
        <v>0</v>
      </c>
      <c r="L456" s="2">
        <f t="shared" si="52"/>
        <v>10</v>
      </c>
      <c r="M456" s="2">
        <f t="shared" si="53"/>
        <v>5</v>
      </c>
      <c r="N456" s="2">
        <f t="shared" si="54"/>
        <v>1</v>
      </c>
      <c r="O456" s="2">
        <f t="shared" si="55"/>
        <v>16</v>
      </c>
    </row>
    <row r="457" spans="1:15" ht="29" x14ac:dyDescent="0.35">
      <c r="A457" s="2" t="s">
        <v>440</v>
      </c>
      <c r="B457" s="2" t="s">
        <v>33</v>
      </c>
      <c r="C457" s="2" t="s">
        <v>468</v>
      </c>
      <c r="D457" s="2" t="s">
        <v>566</v>
      </c>
      <c r="E457" s="2" t="s">
        <v>612</v>
      </c>
      <c r="F457" s="2" t="s">
        <v>98</v>
      </c>
      <c r="G457" s="2" t="s">
        <v>21</v>
      </c>
      <c r="H457" s="2">
        <f>IF(C457="Dynasty Autographs",Calculator!$E$4,IF(C457="Debut Day Inscriptions",Calculator!$E$5,IFERROR(VALUE(SUBSTITUTE(F457,"/","")),0)))</f>
        <v>10</v>
      </c>
      <c r="I457" s="2">
        <f t="shared" si="49"/>
        <v>0</v>
      </c>
      <c r="J457" s="2">
        <f t="shared" si="50"/>
        <v>0</v>
      </c>
      <c r="K457" s="2">
        <f t="shared" si="51"/>
        <v>0</v>
      </c>
      <c r="L457" s="2">
        <f t="shared" si="52"/>
        <v>10</v>
      </c>
      <c r="M457" s="2">
        <f t="shared" si="53"/>
        <v>5</v>
      </c>
      <c r="N457" s="2">
        <f t="shared" si="54"/>
        <v>1</v>
      </c>
      <c r="O457" s="2">
        <f t="shared" si="55"/>
        <v>16</v>
      </c>
    </row>
    <row r="458" spans="1:15" ht="29" x14ac:dyDescent="0.35">
      <c r="A458" s="2" t="s">
        <v>440</v>
      </c>
      <c r="B458" s="2" t="s">
        <v>33</v>
      </c>
      <c r="C458" s="2" t="s">
        <v>468</v>
      </c>
      <c r="D458" s="2" t="s">
        <v>566</v>
      </c>
      <c r="E458" s="2" t="s">
        <v>613</v>
      </c>
      <c r="F458" s="2" t="s">
        <v>98</v>
      </c>
      <c r="G458" s="2" t="s">
        <v>21</v>
      </c>
      <c r="H458" s="2">
        <f>IF(C458="Dynasty Autographs",Calculator!$E$4,IF(C458="Debut Day Inscriptions",Calculator!$E$5,IFERROR(VALUE(SUBSTITUTE(F458,"/","")),0)))</f>
        <v>10</v>
      </c>
      <c r="I458" s="2">
        <f t="shared" si="49"/>
        <v>0</v>
      </c>
      <c r="J458" s="2">
        <f t="shared" si="50"/>
        <v>0</v>
      </c>
      <c r="K458" s="2">
        <f t="shared" si="51"/>
        <v>0</v>
      </c>
      <c r="L458" s="2">
        <f t="shared" si="52"/>
        <v>10</v>
      </c>
      <c r="M458" s="2">
        <f t="shared" si="53"/>
        <v>5</v>
      </c>
      <c r="N458" s="2">
        <f t="shared" si="54"/>
        <v>1</v>
      </c>
      <c r="O458" s="2">
        <f t="shared" si="55"/>
        <v>16</v>
      </c>
    </row>
    <row r="459" spans="1:15" ht="29" x14ac:dyDescent="0.35">
      <c r="A459" s="2" t="s">
        <v>614</v>
      </c>
      <c r="B459" s="2" t="s">
        <v>42</v>
      </c>
      <c r="C459" s="2" t="s">
        <v>468</v>
      </c>
      <c r="D459" s="2" t="s">
        <v>566</v>
      </c>
      <c r="E459" s="2" t="s">
        <v>615</v>
      </c>
      <c r="F459" s="2" t="s">
        <v>98</v>
      </c>
      <c r="G459" s="2" t="s">
        <v>21</v>
      </c>
      <c r="H459" s="2">
        <f>IF(C459="Dynasty Autographs",Calculator!$E$4,IF(C459="Debut Day Inscriptions",Calculator!$E$5,IFERROR(VALUE(SUBSTITUTE(F459,"/","")),0)))</f>
        <v>10</v>
      </c>
      <c r="I459" s="2">
        <f t="shared" si="49"/>
        <v>0</v>
      </c>
      <c r="J459" s="2">
        <f t="shared" si="50"/>
        <v>0</v>
      </c>
      <c r="K459" s="2">
        <f t="shared" si="51"/>
        <v>0</v>
      </c>
      <c r="L459" s="2">
        <f t="shared" si="52"/>
        <v>10</v>
      </c>
      <c r="M459" s="2">
        <f t="shared" si="53"/>
        <v>5</v>
      </c>
      <c r="N459" s="2">
        <f t="shared" si="54"/>
        <v>1</v>
      </c>
      <c r="O459" s="2">
        <f t="shared" si="55"/>
        <v>16</v>
      </c>
    </row>
    <row r="460" spans="1:15" ht="29" x14ac:dyDescent="0.35">
      <c r="A460" s="2" t="s">
        <v>614</v>
      </c>
      <c r="B460" s="2" t="s">
        <v>42</v>
      </c>
      <c r="C460" s="2" t="s">
        <v>468</v>
      </c>
      <c r="D460" s="2" t="s">
        <v>566</v>
      </c>
      <c r="E460" s="2" t="s">
        <v>616</v>
      </c>
      <c r="F460" s="2" t="s">
        <v>98</v>
      </c>
      <c r="G460" s="2" t="s">
        <v>21</v>
      </c>
      <c r="H460" s="2">
        <f>IF(C460="Dynasty Autographs",Calculator!$E$4,IF(C460="Debut Day Inscriptions",Calculator!$E$5,IFERROR(VALUE(SUBSTITUTE(F460,"/","")),0)))</f>
        <v>10</v>
      </c>
      <c r="I460" s="2">
        <f t="shared" si="49"/>
        <v>0</v>
      </c>
      <c r="J460" s="2">
        <f t="shared" si="50"/>
        <v>0</v>
      </c>
      <c r="K460" s="2">
        <f t="shared" si="51"/>
        <v>0</v>
      </c>
      <c r="L460" s="2">
        <f t="shared" si="52"/>
        <v>10</v>
      </c>
      <c r="M460" s="2">
        <f t="shared" si="53"/>
        <v>5</v>
      </c>
      <c r="N460" s="2">
        <f t="shared" si="54"/>
        <v>1</v>
      </c>
      <c r="O460" s="2">
        <f t="shared" si="55"/>
        <v>16</v>
      </c>
    </row>
    <row r="461" spans="1:15" ht="29" x14ac:dyDescent="0.35">
      <c r="A461" s="2" t="s">
        <v>614</v>
      </c>
      <c r="B461" s="2" t="s">
        <v>42</v>
      </c>
      <c r="C461" s="2" t="s">
        <v>468</v>
      </c>
      <c r="D461" s="2" t="s">
        <v>566</v>
      </c>
      <c r="E461" s="2" t="s">
        <v>617</v>
      </c>
      <c r="F461" s="2" t="s">
        <v>98</v>
      </c>
      <c r="G461" s="2" t="s">
        <v>21</v>
      </c>
      <c r="H461" s="2">
        <f>IF(C461="Dynasty Autographs",Calculator!$E$4,IF(C461="Debut Day Inscriptions",Calculator!$E$5,IFERROR(VALUE(SUBSTITUTE(F461,"/","")),0)))</f>
        <v>10</v>
      </c>
      <c r="I461" s="2">
        <f t="shared" si="49"/>
        <v>0</v>
      </c>
      <c r="J461" s="2">
        <f t="shared" si="50"/>
        <v>0</v>
      </c>
      <c r="K461" s="2">
        <f t="shared" si="51"/>
        <v>0</v>
      </c>
      <c r="L461" s="2">
        <f t="shared" si="52"/>
        <v>10</v>
      </c>
      <c r="M461" s="2">
        <f t="shared" si="53"/>
        <v>5</v>
      </c>
      <c r="N461" s="2">
        <f t="shared" si="54"/>
        <v>1</v>
      </c>
      <c r="O461" s="2">
        <f t="shared" si="55"/>
        <v>16</v>
      </c>
    </row>
    <row r="462" spans="1:15" ht="29" x14ac:dyDescent="0.35">
      <c r="A462" s="2" t="s">
        <v>614</v>
      </c>
      <c r="B462" s="2" t="s">
        <v>42</v>
      </c>
      <c r="C462" s="2" t="s">
        <v>468</v>
      </c>
      <c r="D462" s="2" t="s">
        <v>566</v>
      </c>
      <c r="E462" s="2" t="s">
        <v>618</v>
      </c>
      <c r="F462" s="2" t="s">
        <v>98</v>
      </c>
      <c r="G462" s="2" t="s">
        <v>21</v>
      </c>
      <c r="H462" s="2">
        <f>IF(C462="Dynasty Autographs",Calculator!$E$4,IF(C462="Debut Day Inscriptions",Calculator!$E$5,IFERROR(VALUE(SUBSTITUTE(F462,"/","")),0)))</f>
        <v>10</v>
      </c>
      <c r="I462" s="2">
        <f t="shared" si="49"/>
        <v>0</v>
      </c>
      <c r="J462" s="2">
        <f t="shared" si="50"/>
        <v>0</v>
      </c>
      <c r="K462" s="2">
        <f t="shared" si="51"/>
        <v>0</v>
      </c>
      <c r="L462" s="2">
        <f t="shared" si="52"/>
        <v>10</v>
      </c>
      <c r="M462" s="2">
        <f t="shared" si="53"/>
        <v>5</v>
      </c>
      <c r="N462" s="2">
        <f t="shared" si="54"/>
        <v>1</v>
      </c>
      <c r="O462" s="2">
        <f t="shared" si="55"/>
        <v>16</v>
      </c>
    </row>
    <row r="463" spans="1:15" ht="29" x14ac:dyDescent="0.35">
      <c r="A463" s="2" t="s">
        <v>619</v>
      </c>
      <c r="B463" s="2" t="s">
        <v>36</v>
      </c>
      <c r="C463" s="2" t="s">
        <v>468</v>
      </c>
      <c r="D463" s="2" t="s">
        <v>566</v>
      </c>
      <c r="E463" s="2" t="s">
        <v>620</v>
      </c>
      <c r="F463" s="2" t="s">
        <v>98</v>
      </c>
      <c r="G463" s="2" t="s">
        <v>21</v>
      </c>
      <c r="H463" s="2">
        <f>IF(C463="Dynasty Autographs",Calculator!$E$4,IF(C463="Debut Day Inscriptions",Calculator!$E$5,IFERROR(VALUE(SUBSTITUTE(F463,"/","")),0)))</f>
        <v>10</v>
      </c>
      <c r="I463" s="2">
        <f t="shared" si="49"/>
        <v>0</v>
      </c>
      <c r="J463" s="2">
        <f t="shared" si="50"/>
        <v>0</v>
      </c>
      <c r="K463" s="2">
        <f t="shared" si="51"/>
        <v>0</v>
      </c>
      <c r="L463" s="2">
        <f t="shared" si="52"/>
        <v>10</v>
      </c>
      <c r="M463" s="2">
        <f t="shared" si="53"/>
        <v>5</v>
      </c>
      <c r="N463" s="2">
        <f t="shared" si="54"/>
        <v>1</v>
      </c>
      <c r="O463" s="2">
        <f t="shared" si="55"/>
        <v>16</v>
      </c>
    </row>
    <row r="464" spans="1:15" ht="29" x14ac:dyDescent="0.35">
      <c r="A464" s="2" t="s">
        <v>619</v>
      </c>
      <c r="B464" s="2" t="s">
        <v>36</v>
      </c>
      <c r="C464" s="2" t="s">
        <v>468</v>
      </c>
      <c r="D464" s="2" t="s">
        <v>566</v>
      </c>
      <c r="E464" s="2" t="s">
        <v>621</v>
      </c>
      <c r="F464" s="2" t="s">
        <v>98</v>
      </c>
      <c r="G464" s="2" t="s">
        <v>21</v>
      </c>
      <c r="H464" s="2">
        <f>IF(C464="Dynasty Autographs",Calculator!$E$4,IF(C464="Debut Day Inscriptions",Calculator!$E$5,IFERROR(VALUE(SUBSTITUTE(F464,"/","")),0)))</f>
        <v>10</v>
      </c>
      <c r="I464" s="2">
        <f t="shared" si="49"/>
        <v>0</v>
      </c>
      <c r="J464" s="2">
        <f t="shared" si="50"/>
        <v>0</v>
      </c>
      <c r="K464" s="2">
        <f t="shared" si="51"/>
        <v>0</v>
      </c>
      <c r="L464" s="2">
        <f t="shared" si="52"/>
        <v>10</v>
      </c>
      <c r="M464" s="2">
        <f t="shared" si="53"/>
        <v>5</v>
      </c>
      <c r="N464" s="2">
        <f t="shared" si="54"/>
        <v>1</v>
      </c>
      <c r="O464" s="2">
        <f t="shared" si="55"/>
        <v>16</v>
      </c>
    </row>
    <row r="465" spans="1:15" ht="29" x14ac:dyDescent="0.35">
      <c r="A465" s="2" t="s">
        <v>622</v>
      </c>
      <c r="B465" s="2" t="s">
        <v>16</v>
      </c>
      <c r="C465" s="2" t="s">
        <v>468</v>
      </c>
      <c r="D465" s="2" t="s">
        <v>566</v>
      </c>
      <c r="E465" s="2" t="s">
        <v>623</v>
      </c>
      <c r="F465" s="2" t="s">
        <v>98</v>
      </c>
      <c r="G465" s="2" t="s">
        <v>21</v>
      </c>
      <c r="H465" s="2">
        <f>IF(C465="Dynasty Autographs",Calculator!$E$4,IF(C465="Debut Day Inscriptions",Calculator!$E$5,IFERROR(VALUE(SUBSTITUTE(F465,"/","")),0)))</f>
        <v>10</v>
      </c>
      <c r="I465" s="2">
        <f t="shared" si="49"/>
        <v>0</v>
      </c>
      <c r="J465" s="2">
        <f t="shared" si="50"/>
        <v>0</v>
      </c>
      <c r="K465" s="2">
        <f t="shared" si="51"/>
        <v>0</v>
      </c>
      <c r="L465" s="2">
        <f t="shared" si="52"/>
        <v>10</v>
      </c>
      <c r="M465" s="2">
        <f t="shared" si="53"/>
        <v>5</v>
      </c>
      <c r="N465" s="2">
        <f t="shared" si="54"/>
        <v>1</v>
      </c>
      <c r="O465" s="2">
        <f t="shared" si="55"/>
        <v>16</v>
      </c>
    </row>
    <row r="466" spans="1:15" ht="29" x14ac:dyDescent="0.35">
      <c r="A466" s="2" t="s">
        <v>622</v>
      </c>
      <c r="B466" s="2" t="s">
        <v>16</v>
      </c>
      <c r="C466" s="2" t="s">
        <v>468</v>
      </c>
      <c r="D466" s="2" t="s">
        <v>566</v>
      </c>
      <c r="E466" s="2" t="s">
        <v>624</v>
      </c>
      <c r="F466" s="2" t="s">
        <v>98</v>
      </c>
      <c r="G466" s="2" t="s">
        <v>21</v>
      </c>
      <c r="H466" s="2">
        <f>IF(C466="Dynasty Autographs",Calculator!$E$4,IF(C466="Debut Day Inscriptions",Calculator!$E$5,IFERROR(VALUE(SUBSTITUTE(F466,"/","")),0)))</f>
        <v>10</v>
      </c>
      <c r="I466" s="2">
        <f t="shared" si="49"/>
        <v>0</v>
      </c>
      <c r="J466" s="2">
        <f t="shared" si="50"/>
        <v>0</v>
      </c>
      <c r="K466" s="2">
        <f t="shared" si="51"/>
        <v>0</v>
      </c>
      <c r="L466" s="2">
        <f t="shared" si="52"/>
        <v>10</v>
      </c>
      <c r="M466" s="2">
        <f t="shared" si="53"/>
        <v>5</v>
      </c>
      <c r="N466" s="2">
        <f t="shared" si="54"/>
        <v>1</v>
      </c>
      <c r="O466" s="2">
        <f t="shared" si="55"/>
        <v>16</v>
      </c>
    </row>
    <row r="467" spans="1:15" ht="29" x14ac:dyDescent="0.35">
      <c r="A467" s="2" t="s">
        <v>622</v>
      </c>
      <c r="B467" s="2" t="s">
        <v>16</v>
      </c>
      <c r="C467" s="2" t="s">
        <v>468</v>
      </c>
      <c r="D467" s="2" t="s">
        <v>566</v>
      </c>
      <c r="E467" s="2" t="s">
        <v>625</v>
      </c>
      <c r="F467" s="2" t="s">
        <v>98</v>
      </c>
      <c r="G467" s="2" t="s">
        <v>21</v>
      </c>
      <c r="H467" s="2">
        <f>IF(C467="Dynasty Autographs",Calculator!$E$4,IF(C467="Debut Day Inscriptions",Calculator!$E$5,IFERROR(VALUE(SUBSTITUTE(F467,"/","")),0)))</f>
        <v>10</v>
      </c>
      <c r="I467" s="2">
        <f t="shared" si="49"/>
        <v>0</v>
      </c>
      <c r="J467" s="2">
        <f t="shared" si="50"/>
        <v>0</v>
      </c>
      <c r="K467" s="2">
        <f t="shared" si="51"/>
        <v>0</v>
      </c>
      <c r="L467" s="2">
        <f t="shared" si="52"/>
        <v>10</v>
      </c>
      <c r="M467" s="2">
        <f t="shared" si="53"/>
        <v>5</v>
      </c>
      <c r="N467" s="2">
        <f t="shared" si="54"/>
        <v>1</v>
      </c>
      <c r="O467" s="2">
        <f t="shared" si="55"/>
        <v>16</v>
      </c>
    </row>
    <row r="468" spans="1:15" ht="29" x14ac:dyDescent="0.35">
      <c r="A468" s="2" t="s">
        <v>144</v>
      </c>
      <c r="B468" s="2" t="s">
        <v>42</v>
      </c>
      <c r="C468" s="2" t="s">
        <v>468</v>
      </c>
      <c r="D468" s="2" t="s">
        <v>566</v>
      </c>
      <c r="E468" s="2" t="s">
        <v>626</v>
      </c>
      <c r="F468" s="2" t="s">
        <v>98</v>
      </c>
      <c r="G468" s="2" t="s">
        <v>21</v>
      </c>
      <c r="H468" s="2">
        <f>IF(C468="Dynasty Autographs",Calculator!$E$4,IF(C468="Debut Day Inscriptions",Calculator!$E$5,IFERROR(VALUE(SUBSTITUTE(F468,"/","")),0)))</f>
        <v>10</v>
      </c>
      <c r="I468" s="2">
        <f t="shared" si="49"/>
        <v>0</v>
      </c>
      <c r="J468" s="2">
        <f t="shared" si="50"/>
        <v>0</v>
      </c>
      <c r="K468" s="2">
        <f t="shared" si="51"/>
        <v>0</v>
      </c>
      <c r="L468" s="2">
        <f t="shared" si="52"/>
        <v>10</v>
      </c>
      <c r="M468" s="2">
        <f t="shared" si="53"/>
        <v>5</v>
      </c>
      <c r="N468" s="2">
        <f t="shared" si="54"/>
        <v>1</v>
      </c>
      <c r="O468" s="2">
        <f t="shared" si="55"/>
        <v>16</v>
      </c>
    </row>
    <row r="469" spans="1:15" ht="29" x14ac:dyDescent="0.35">
      <c r="A469" s="2" t="s">
        <v>144</v>
      </c>
      <c r="B469" s="2" t="s">
        <v>42</v>
      </c>
      <c r="C469" s="2" t="s">
        <v>468</v>
      </c>
      <c r="D469" s="2" t="s">
        <v>566</v>
      </c>
      <c r="E469" s="2" t="s">
        <v>627</v>
      </c>
      <c r="F469" s="2" t="s">
        <v>98</v>
      </c>
      <c r="G469" s="2" t="s">
        <v>21</v>
      </c>
      <c r="H469" s="2">
        <f>IF(C469="Dynasty Autographs",Calculator!$E$4,IF(C469="Debut Day Inscriptions",Calculator!$E$5,IFERROR(VALUE(SUBSTITUTE(F469,"/","")),0)))</f>
        <v>10</v>
      </c>
      <c r="I469" s="2">
        <f t="shared" si="49"/>
        <v>0</v>
      </c>
      <c r="J469" s="2">
        <f t="shared" si="50"/>
        <v>0</v>
      </c>
      <c r="K469" s="2">
        <f t="shared" si="51"/>
        <v>0</v>
      </c>
      <c r="L469" s="2">
        <f t="shared" si="52"/>
        <v>10</v>
      </c>
      <c r="M469" s="2">
        <f t="shared" si="53"/>
        <v>5</v>
      </c>
      <c r="N469" s="2">
        <f t="shared" si="54"/>
        <v>1</v>
      </c>
      <c r="O469" s="2">
        <f t="shared" si="55"/>
        <v>16</v>
      </c>
    </row>
    <row r="470" spans="1:15" ht="29" x14ac:dyDescent="0.35">
      <c r="A470" s="2" t="s">
        <v>144</v>
      </c>
      <c r="B470" s="2" t="s">
        <v>42</v>
      </c>
      <c r="C470" s="2" t="s">
        <v>468</v>
      </c>
      <c r="D470" s="2" t="s">
        <v>566</v>
      </c>
      <c r="E470" s="2" t="s">
        <v>628</v>
      </c>
      <c r="F470" s="2" t="s">
        <v>98</v>
      </c>
      <c r="G470" s="2" t="s">
        <v>21</v>
      </c>
      <c r="H470" s="2">
        <f>IF(C470="Dynasty Autographs",Calculator!$E$4,IF(C470="Debut Day Inscriptions",Calculator!$E$5,IFERROR(VALUE(SUBSTITUTE(F470,"/","")),0)))</f>
        <v>10</v>
      </c>
      <c r="I470" s="2">
        <f t="shared" si="49"/>
        <v>0</v>
      </c>
      <c r="J470" s="2">
        <f t="shared" si="50"/>
        <v>0</v>
      </c>
      <c r="K470" s="2">
        <f t="shared" si="51"/>
        <v>0</v>
      </c>
      <c r="L470" s="2">
        <f t="shared" si="52"/>
        <v>10</v>
      </c>
      <c r="M470" s="2">
        <f t="shared" si="53"/>
        <v>5</v>
      </c>
      <c r="N470" s="2">
        <f t="shared" si="54"/>
        <v>1</v>
      </c>
      <c r="O470" s="2">
        <f t="shared" si="55"/>
        <v>16</v>
      </c>
    </row>
    <row r="471" spans="1:15" ht="29" x14ac:dyDescent="0.35">
      <c r="A471" s="2" t="s">
        <v>144</v>
      </c>
      <c r="B471" s="2" t="s">
        <v>42</v>
      </c>
      <c r="C471" s="2" t="s">
        <v>468</v>
      </c>
      <c r="D471" s="2" t="s">
        <v>566</v>
      </c>
      <c r="E471" s="2" t="s">
        <v>629</v>
      </c>
      <c r="F471" s="2" t="s">
        <v>98</v>
      </c>
      <c r="G471" s="2" t="s">
        <v>21</v>
      </c>
      <c r="H471" s="2">
        <f>IF(C471="Dynasty Autographs",Calculator!$E$4,IF(C471="Debut Day Inscriptions",Calculator!$E$5,IFERROR(VALUE(SUBSTITUTE(F471,"/","")),0)))</f>
        <v>10</v>
      </c>
      <c r="I471" s="2">
        <f t="shared" si="49"/>
        <v>0</v>
      </c>
      <c r="J471" s="2">
        <f t="shared" si="50"/>
        <v>0</v>
      </c>
      <c r="K471" s="2">
        <f t="shared" si="51"/>
        <v>0</v>
      </c>
      <c r="L471" s="2">
        <f t="shared" si="52"/>
        <v>10</v>
      </c>
      <c r="M471" s="2">
        <f t="shared" si="53"/>
        <v>5</v>
      </c>
      <c r="N471" s="2">
        <f t="shared" si="54"/>
        <v>1</v>
      </c>
      <c r="O471" s="2">
        <f t="shared" si="55"/>
        <v>16</v>
      </c>
    </row>
    <row r="472" spans="1:15" ht="29" x14ac:dyDescent="0.35">
      <c r="A472" s="2" t="s">
        <v>630</v>
      </c>
      <c r="B472" s="2" t="s">
        <v>63</v>
      </c>
      <c r="C472" s="2" t="s">
        <v>631</v>
      </c>
      <c r="D472" s="2" t="s">
        <v>632</v>
      </c>
      <c r="E472" s="2" t="s">
        <v>633</v>
      </c>
      <c r="F472" s="2" t="s">
        <v>20</v>
      </c>
      <c r="G472" s="2" t="s">
        <v>21</v>
      </c>
      <c r="H472" s="2">
        <f>IF(C472="Dynasty Autographs",Calculator!$E$4,IF(C472="Debut Day Inscriptions",Calculator!$E$5,IFERROR(VALUE(SUBSTITUTE(F472,"/","")),0)))</f>
        <v>10</v>
      </c>
      <c r="I472" s="2">
        <f t="shared" si="49"/>
        <v>0</v>
      </c>
      <c r="J472" s="2">
        <f t="shared" si="50"/>
        <v>0</v>
      </c>
      <c r="K472" s="2">
        <f t="shared" si="51"/>
        <v>0</v>
      </c>
      <c r="L472" s="2">
        <f t="shared" si="52"/>
        <v>10</v>
      </c>
      <c r="M472" s="2">
        <f t="shared" si="53"/>
        <v>5</v>
      </c>
      <c r="N472" s="2">
        <f t="shared" si="54"/>
        <v>1</v>
      </c>
      <c r="O472" s="2">
        <f t="shared" si="55"/>
        <v>16</v>
      </c>
    </row>
    <row r="473" spans="1:15" x14ac:dyDescent="0.35">
      <c r="A473" s="2" t="s">
        <v>634</v>
      </c>
      <c r="B473" s="2" t="s">
        <v>36</v>
      </c>
      <c r="C473" s="2" t="s">
        <v>631</v>
      </c>
      <c r="D473" s="2" t="s">
        <v>632</v>
      </c>
      <c r="E473" s="2" t="s">
        <v>635</v>
      </c>
      <c r="F473" s="2" t="s">
        <v>20</v>
      </c>
      <c r="G473" s="2" t="s">
        <v>21</v>
      </c>
      <c r="H473" s="2">
        <f>IF(C473="Dynasty Autographs",Calculator!$E$4,IF(C473="Debut Day Inscriptions",Calculator!$E$5,IFERROR(VALUE(SUBSTITUTE(F473,"/","")),0)))</f>
        <v>10</v>
      </c>
      <c r="I473" s="2">
        <f t="shared" si="49"/>
        <v>0</v>
      </c>
      <c r="J473" s="2">
        <f t="shared" si="50"/>
        <v>0</v>
      </c>
      <c r="K473" s="2">
        <f t="shared" si="51"/>
        <v>0</v>
      </c>
      <c r="L473" s="2">
        <f t="shared" si="52"/>
        <v>10</v>
      </c>
      <c r="M473" s="2">
        <f t="shared" si="53"/>
        <v>5</v>
      </c>
      <c r="N473" s="2">
        <f t="shared" si="54"/>
        <v>1</v>
      </c>
      <c r="O473" s="2">
        <f t="shared" si="55"/>
        <v>16</v>
      </c>
    </row>
    <row r="474" spans="1:15" x14ac:dyDescent="0.35">
      <c r="A474" s="2" t="s">
        <v>636</v>
      </c>
      <c r="B474" s="2" t="s">
        <v>16</v>
      </c>
      <c r="C474" s="2" t="s">
        <v>631</v>
      </c>
      <c r="D474" s="2" t="s">
        <v>632</v>
      </c>
      <c r="E474" s="2" t="s">
        <v>637</v>
      </c>
      <c r="F474" s="2" t="s">
        <v>20</v>
      </c>
      <c r="G474" s="2" t="s">
        <v>21</v>
      </c>
      <c r="H474" s="2">
        <f>IF(C474="Dynasty Autographs",Calculator!$E$4,IF(C474="Debut Day Inscriptions",Calculator!$E$5,IFERROR(VALUE(SUBSTITUTE(F474,"/","")),0)))</f>
        <v>10</v>
      </c>
      <c r="I474" s="2">
        <f t="shared" si="49"/>
        <v>0</v>
      </c>
      <c r="J474" s="2">
        <f t="shared" si="50"/>
        <v>0</v>
      </c>
      <c r="K474" s="2">
        <f t="shared" si="51"/>
        <v>0</v>
      </c>
      <c r="L474" s="2">
        <f t="shared" si="52"/>
        <v>10</v>
      </c>
      <c r="M474" s="2">
        <f t="shared" si="53"/>
        <v>5</v>
      </c>
      <c r="N474" s="2">
        <f t="shared" si="54"/>
        <v>1</v>
      </c>
      <c r="O474" s="2">
        <f t="shared" si="55"/>
        <v>16</v>
      </c>
    </row>
    <row r="475" spans="1:15" x14ac:dyDescent="0.35">
      <c r="A475" s="2" t="s">
        <v>638</v>
      </c>
      <c r="B475" s="2" t="s">
        <v>42</v>
      </c>
      <c r="C475" s="2" t="s">
        <v>631</v>
      </c>
      <c r="D475" s="2" t="s">
        <v>632</v>
      </c>
      <c r="E475" s="2" t="s">
        <v>639</v>
      </c>
      <c r="F475" s="2" t="s">
        <v>20</v>
      </c>
      <c r="G475" s="2" t="s">
        <v>21</v>
      </c>
      <c r="H475" s="2">
        <f>IF(C475="Dynasty Autographs",Calculator!$E$4,IF(C475="Debut Day Inscriptions",Calculator!$E$5,IFERROR(VALUE(SUBSTITUTE(F475,"/","")),0)))</f>
        <v>10</v>
      </c>
      <c r="I475" s="2">
        <f t="shared" si="49"/>
        <v>0</v>
      </c>
      <c r="J475" s="2">
        <f t="shared" si="50"/>
        <v>0</v>
      </c>
      <c r="K475" s="2">
        <f t="shared" si="51"/>
        <v>0</v>
      </c>
      <c r="L475" s="2">
        <f t="shared" si="52"/>
        <v>10</v>
      </c>
      <c r="M475" s="2">
        <f t="shared" si="53"/>
        <v>5</v>
      </c>
      <c r="N475" s="2">
        <f t="shared" si="54"/>
        <v>1</v>
      </c>
      <c r="O475" s="2">
        <f t="shared" si="55"/>
        <v>16</v>
      </c>
    </row>
    <row r="476" spans="1:15" ht="29" x14ac:dyDescent="0.35">
      <c r="A476" s="2" t="s">
        <v>640</v>
      </c>
      <c r="B476" s="2" t="s">
        <v>42</v>
      </c>
      <c r="C476" s="2" t="s">
        <v>631</v>
      </c>
      <c r="D476" s="2" t="s">
        <v>641</v>
      </c>
      <c r="E476" s="2" t="s">
        <v>642</v>
      </c>
      <c r="F476" s="2" t="s">
        <v>20</v>
      </c>
      <c r="G476" s="2" t="s">
        <v>21</v>
      </c>
      <c r="H476" s="2">
        <f>IF(C476="Dynasty Autographs",Calculator!$E$4,IF(C476="Debut Day Inscriptions",Calculator!$E$5,IFERROR(VALUE(SUBSTITUTE(F476,"/","")),0)))</f>
        <v>10</v>
      </c>
      <c r="I476" s="2">
        <f t="shared" si="49"/>
        <v>0</v>
      </c>
      <c r="J476" s="2">
        <f t="shared" si="50"/>
        <v>0</v>
      </c>
      <c r="K476" s="2">
        <f t="shared" si="51"/>
        <v>0</v>
      </c>
      <c r="L476" s="2">
        <f t="shared" si="52"/>
        <v>10</v>
      </c>
      <c r="M476" s="2">
        <f t="shared" si="53"/>
        <v>5</v>
      </c>
      <c r="N476" s="2">
        <f t="shared" si="54"/>
        <v>1</v>
      </c>
      <c r="O476" s="2">
        <f t="shared" si="55"/>
        <v>16</v>
      </c>
    </row>
    <row r="477" spans="1:15" x14ac:dyDescent="0.35">
      <c r="A477" s="2" t="s">
        <v>154</v>
      </c>
      <c r="B477" s="2" t="s">
        <v>42</v>
      </c>
      <c r="C477" s="2" t="s">
        <v>631</v>
      </c>
      <c r="D477" s="2" t="s">
        <v>641</v>
      </c>
      <c r="E477" s="2" t="s">
        <v>643</v>
      </c>
      <c r="F477" s="2" t="s">
        <v>20</v>
      </c>
      <c r="G477" s="2" t="s">
        <v>21</v>
      </c>
      <c r="H477" s="2">
        <f>IF(C477="Dynasty Autographs",Calculator!$E$4,IF(C477="Debut Day Inscriptions",Calculator!$E$5,IFERROR(VALUE(SUBSTITUTE(F477,"/","")),0)))</f>
        <v>10</v>
      </c>
      <c r="I477" s="2">
        <f t="shared" si="49"/>
        <v>0</v>
      </c>
      <c r="J477" s="2">
        <f t="shared" si="50"/>
        <v>0</v>
      </c>
      <c r="K477" s="2">
        <f t="shared" si="51"/>
        <v>0</v>
      </c>
      <c r="L477" s="2">
        <f t="shared" si="52"/>
        <v>10</v>
      </c>
      <c r="M477" s="2">
        <f t="shared" si="53"/>
        <v>5</v>
      </c>
      <c r="N477" s="2">
        <f t="shared" si="54"/>
        <v>1</v>
      </c>
      <c r="O477" s="2">
        <f t="shared" si="55"/>
        <v>16</v>
      </c>
    </row>
    <row r="478" spans="1:15" x14ac:dyDescent="0.35">
      <c r="A478" s="2" t="s">
        <v>644</v>
      </c>
      <c r="B478" s="2" t="s">
        <v>71</v>
      </c>
      <c r="C478" s="2" t="s">
        <v>631</v>
      </c>
      <c r="D478" s="2" t="s">
        <v>641</v>
      </c>
      <c r="E478" s="2" t="s">
        <v>645</v>
      </c>
      <c r="F478" s="2" t="s">
        <v>20</v>
      </c>
      <c r="G478" s="2" t="s">
        <v>21</v>
      </c>
      <c r="H478" s="2">
        <f>IF(C478="Dynasty Autographs",Calculator!$E$4,IF(C478="Debut Day Inscriptions",Calculator!$E$5,IFERROR(VALUE(SUBSTITUTE(F478,"/","")),0)))</f>
        <v>10</v>
      </c>
      <c r="I478" s="2">
        <f t="shared" si="49"/>
        <v>0</v>
      </c>
      <c r="J478" s="2">
        <f t="shared" si="50"/>
        <v>0</v>
      </c>
      <c r="K478" s="2">
        <f t="shared" si="51"/>
        <v>0</v>
      </c>
      <c r="L478" s="2">
        <f t="shared" si="52"/>
        <v>10</v>
      </c>
      <c r="M478" s="2">
        <f t="shared" si="53"/>
        <v>5</v>
      </c>
      <c r="N478" s="2">
        <f t="shared" si="54"/>
        <v>1</v>
      </c>
      <c r="O478" s="2">
        <f t="shared" si="55"/>
        <v>16</v>
      </c>
    </row>
    <row r="479" spans="1:15" ht="29" x14ac:dyDescent="0.35">
      <c r="A479" s="2" t="s">
        <v>646</v>
      </c>
      <c r="B479" s="2" t="s">
        <v>647</v>
      </c>
      <c r="C479" s="2" t="s">
        <v>631</v>
      </c>
      <c r="D479" s="2" t="s">
        <v>641</v>
      </c>
      <c r="E479" s="2" t="s">
        <v>648</v>
      </c>
      <c r="F479" s="2" t="s">
        <v>20</v>
      </c>
      <c r="G479" s="2" t="s">
        <v>21</v>
      </c>
      <c r="H479" s="2">
        <f>IF(C479="Dynasty Autographs",Calculator!$E$4,IF(C479="Debut Day Inscriptions",Calculator!$E$5,IFERROR(VALUE(SUBSTITUTE(F479,"/","")),0)))</f>
        <v>10</v>
      </c>
      <c r="I479" s="2">
        <f t="shared" si="49"/>
        <v>0</v>
      </c>
      <c r="J479" s="2">
        <f t="shared" si="50"/>
        <v>0</v>
      </c>
      <c r="K479" s="2">
        <f t="shared" si="51"/>
        <v>0</v>
      </c>
      <c r="L479" s="2">
        <f t="shared" si="52"/>
        <v>10</v>
      </c>
      <c r="M479" s="2">
        <f t="shared" si="53"/>
        <v>5</v>
      </c>
      <c r="N479" s="2">
        <f t="shared" si="54"/>
        <v>1</v>
      </c>
      <c r="O479" s="2">
        <f t="shared" si="55"/>
        <v>16</v>
      </c>
    </row>
    <row r="480" spans="1:15" ht="43.5" x14ac:dyDescent="0.35">
      <c r="A480" s="2" t="s">
        <v>649</v>
      </c>
      <c r="B480" s="2" t="s">
        <v>650</v>
      </c>
      <c r="C480" s="2" t="s">
        <v>651</v>
      </c>
      <c r="D480" s="2" t="s">
        <v>652</v>
      </c>
      <c r="E480" s="2" t="s">
        <v>653</v>
      </c>
      <c r="F480" s="2" t="s">
        <v>20</v>
      </c>
      <c r="G480" s="2" t="s">
        <v>21</v>
      </c>
      <c r="H480" s="2">
        <f>IF(C480="Dynasty Autographs",Calculator!$E$4,IF(C480="Debut Day Inscriptions",Calculator!$E$5,IFERROR(VALUE(SUBSTITUTE(F480,"/","")),0)))</f>
        <v>10</v>
      </c>
      <c r="I480" s="2">
        <f t="shared" si="49"/>
        <v>0</v>
      </c>
      <c r="J480" s="2">
        <f t="shared" si="50"/>
        <v>0</v>
      </c>
      <c r="K480" s="2">
        <f t="shared" si="51"/>
        <v>0</v>
      </c>
      <c r="L480" s="2">
        <f t="shared" si="52"/>
        <v>10</v>
      </c>
      <c r="M480" s="2">
        <f t="shared" si="53"/>
        <v>5</v>
      </c>
      <c r="N480" s="2">
        <f t="shared" si="54"/>
        <v>1</v>
      </c>
      <c r="O480" s="2">
        <f t="shared" si="55"/>
        <v>16</v>
      </c>
    </row>
    <row r="481" spans="1:15" ht="29" x14ac:dyDescent="0.35">
      <c r="A481" s="2" t="s">
        <v>654</v>
      </c>
      <c r="B481" s="2" t="s">
        <v>655</v>
      </c>
      <c r="C481" s="2" t="s">
        <v>651</v>
      </c>
      <c r="D481" s="2" t="s">
        <v>652</v>
      </c>
      <c r="E481" s="2" t="s">
        <v>656</v>
      </c>
      <c r="F481" s="2" t="s">
        <v>20</v>
      </c>
      <c r="G481" s="2" t="s">
        <v>21</v>
      </c>
      <c r="H481" s="2">
        <f>IF(C481="Dynasty Autographs",Calculator!$E$4,IF(C481="Debut Day Inscriptions",Calculator!$E$5,IFERROR(VALUE(SUBSTITUTE(F481,"/","")),0)))</f>
        <v>10</v>
      </c>
      <c r="I481" s="2">
        <f t="shared" si="49"/>
        <v>0</v>
      </c>
      <c r="J481" s="2">
        <f t="shared" si="50"/>
        <v>0</v>
      </c>
      <c r="K481" s="2">
        <f t="shared" si="51"/>
        <v>0</v>
      </c>
      <c r="L481" s="2">
        <f t="shared" si="52"/>
        <v>10</v>
      </c>
      <c r="M481" s="2">
        <f t="shared" si="53"/>
        <v>5</v>
      </c>
      <c r="N481" s="2">
        <f t="shared" si="54"/>
        <v>1</v>
      </c>
      <c r="O481" s="2">
        <f t="shared" si="55"/>
        <v>16</v>
      </c>
    </row>
    <row r="482" spans="1:15" x14ac:dyDescent="0.35">
      <c r="A482" s="2" t="s">
        <v>22</v>
      </c>
      <c r="B482" s="2" t="s">
        <v>23</v>
      </c>
      <c r="C482" s="2" t="s">
        <v>657</v>
      </c>
      <c r="D482" s="2" t="s">
        <v>658</v>
      </c>
      <c r="E482" s="2" t="s">
        <v>659</v>
      </c>
      <c r="F482" s="2" t="s">
        <v>660</v>
      </c>
      <c r="G482" s="2" t="s">
        <v>661</v>
      </c>
      <c r="H482" s="2">
        <f>IF(C482="Dynasty Autographs",Calculator!$E$4,IF(C482="Debut Day Inscriptions",Calculator!$E$5,IFERROR(VALUE(SUBSTITUTE(F482,"/","")),0)))</f>
        <v>1</v>
      </c>
      <c r="I482" s="2">
        <f t="shared" si="49"/>
        <v>0</v>
      </c>
      <c r="J482" s="2">
        <f t="shared" si="50"/>
        <v>0</v>
      </c>
      <c r="K482" s="2">
        <f t="shared" si="51"/>
        <v>0</v>
      </c>
      <c r="L482" s="2">
        <f t="shared" si="52"/>
        <v>0</v>
      </c>
      <c r="M482" s="2">
        <f t="shared" si="53"/>
        <v>0</v>
      </c>
      <c r="N482" s="2">
        <f t="shared" si="54"/>
        <v>1</v>
      </c>
      <c r="O482" s="2">
        <f t="shared" si="55"/>
        <v>1</v>
      </c>
    </row>
    <row r="483" spans="1:15" x14ac:dyDescent="0.35">
      <c r="A483" s="2" t="s">
        <v>138</v>
      </c>
      <c r="B483" s="2" t="s">
        <v>71</v>
      </c>
      <c r="C483" s="2" t="s">
        <v>657</v>
      </c>
      <c r="D483" s="2" t="s">
        <v>658</v>
      </c>
      <c r="E483" s="2" t="s">
        <v>662</v>
      </c>
      <c r="F483" s="2" t="s">
        <v>660</v>
      </c>
      <c r="G483" s="2" t="s">
        <v>661</v>
      </c>
      <c r="H483" s="2">
        <f>IF(C483="Dynasty Autographs",Calculator!$E$4,IF(C483="Debut Day Inscriptions",Calculator!$E$5,IFERROR(VALUE(SUBSTITUTE(F483,"/","")),0)))</f>
        <v>1</v>
      </c>
      <c r="I483" s="2">
        <f t="shared" si="49"/>
        <v>0</v>
      </c>
      <c r="J483" s="2">
        <f t="shared" si="50"/>
        <v>0</v>
      </c>
      <c r="K483" s="2">
        <f t="shared" si="51"/>
        <v>0</v>
      </c>
      <c r="L483" s="2">
        <f t="shared" si="52"/>
        <v>0</v>
      </c>
      <c r="M483" s="2">
        <f t="shared" si="53"/>
        <v>0</v>
      </c>
      <c r="N483" s="2">
        <f t="shared" si="54"/>
        <v>1</v>
      </c>
      <c r="O483" s="2">
        <f t="shared" si="55"/>
        <v>1</v>
      </c>
    </row>
    <row r="484" spans="1:15" x14ac:dyDescent="0.35">
      <c r="A484" s="2" t="s">
        <v>172</v>
      </c>
      <c r="B484" s="2" t="s">
        <v>52</v>
      </c>
      <c r="C484" s="2" t="s">
        <v>657</v>
      </c>
      <c r="D484" s="2" t="s">
        <v>658</v>
      </c>
      <c r="E484" s="2" t="s">
        <v>663</v>
      </c>
      <c r="F484" s="2" t="s">
        <v>660</v>
      </c>
      <c r="G484" s="2" t="s">
        <v>661</v>
      </c>
      <c r="H484" s="2">
        <f>IF(C484="Dynasty Autographs",Calculator!$E$4,IF(C484="Debut Day Inscriptions",Calculator!$E$5,IFERROR(VALUE(SUBSTITUTE(F484,"/","")),0)))</f>
        <v>1</v>
      </c>
      <c r="I484" s="2">
        <f t="shared" si="49"/>
        <v>0</v>
      </c>
      <c r="J484" s="2">
        <f t="shared" si="50"/>
        <v>0</v>
      </c>
      <c r="K484" s="2">
        <f t="shared" si="51"/>
        <v>0</v>
      </c>
      <c r="L484" s="2">
        <f t="shared" si="52"/>
        <v>0</v>
      </c>
      <c r="M484" s="2">
        <f t="shared" si="53"/>
        <v>0</v>
      </c>
      <c r="N484" s="2">
        <f t="shared" si="54"/>
        <v>1</v>
      </c>
      <c r="O484" s="2">
        <f t="shared" si="55"/>
        <v>1</v>
      </c>
    </row>
    <row r="485" spans="1:15" x14ac:dyDescent="0.35">
      <c r="A485" s="2" t="s">
        <v>25</v>
      </c>
      <c r="B485" s="2" t="s">
        <v>26</v>
      </c>
      <c r="C485" s="2" t="s">
        <v>657</v>
      </c>
      <c r="D485" s="2" t="s">
        <v>658</v>
      </c>
      <c r="E485" s="2" t="s">
        <v>664</v>
      </c>
      <c r="F485" s="2" t="s">
        <v>660</v>
      </c>
      <c r="G485" s="2" t="s">
        <v>661</v>
      </c>
      <c r="H485" s="2">
        <f>IF(C485="Dynasty Autographs",Calculator!$E$4,IF(C485="Debut Day Inscriptions",Calculator!$E$5,IFERROR(VALUE(SUBSTITUTE(F485,"/","")),0)))</f>
        <v>1</v>
      </c>
      <c r="I485" s="2">
        <f t="shared" si="49"/>
        <v>0</v>
      </c>
      <c r="J485" s="2">
        <f t="shared" si="50"/>
        <v>0</v>
      </c>
      <c r="K485" s="2">
        <f t="shared" si="51"/>
        <v>0</v>
      </c>
      <c r="L485" s="2">
        <f t="shared" si="52"/>
        <v>0</v>
      </c>
      <c r="M485" s="2">
        <f t="shared" si="53"/>
        <v>0</v>
      </c>
      <c r="N485" s="2">
        <f t="shared" si="54"/>
        <v>1</v>
      </c>
      <c r="O485" s="2">
        <f t="shared" si="55"/>
        <v>1</v>
      </c>
    </row>
    <row r="486" spans="1:15" x14ac:dyDescent="0.35">
      <c r="A486" s="2" t="s">
        <v>474</v>
      </c>
      <c r="B486" s="2" t="s">
        <v>87</v>
      </c>
      <c r="C486" s="2" t="s">
        <v>657</v>
      </c>
      <c r="D486" s="2" t="s">
        <v>658</v>
      </c>
      <c r="E486" s="2" t="s">
        <v>665</v>
      </c>
      <c r="F486" s="2" t="s">
        <v>660</v>
      </c>
      <c r="G486" s="2" t="s">
        <v>661</v>
      </c>
      <c r="H486" s="2">
        <f>IF(C486="Dynasty Autographs",Calculator!$E$4,IF(C486="Debut Day Inscriptions",Calculator!$E$5,IFERROR(VALUE(SUBSTITUTE(F486,"/","")),0)))</f>
        <v>1</v>
      </c>
      <c r="I486" s="2">
        <f t="shared" si="49"/>
        <v>0</v>
      </c>
      <c r="J486" s="2">
        <f t="shared" si="50"/>
        <v>0</v>
      </c>
      <c r="K486" s="2">
        <f t="shared" si="51"/>
        <v>0</v>
      </c>
      <c r="L486" s="2">
        <f t="shared" si="52"/>
        <v>0</v>
      </c>
      <c r="M486" s="2">
        <f t="shared" si="53"/>
        <v>0</v>
      </c>
      <c r="N486" s="2">
        <f t="shared" si="54"/>
        <v>1</v>
      </c>
      <c r="O486" s="2">
        <f t="shared" si="55"/>
        <v>1</v>
      </c>
    </row>
    <row r="487" spans="1:15" x14ac:dyDescent="0.35">
      <c r="A487" s="2" t="s">
        <v>666</v>
      </c>
      <c r="B487" s="2" t="s">
        <v>36</v>
      </c>
      <c r="C487" s="2" t="s">
        <v>657</v>
      </c>
      <c r="D487" s="2" t="s">
        <v>658</v>
      </c>
      <c r="E487" s="2" t="s">
        <v>667</v>
      </c>
      <c r="F487" s="2" t="s">
        <v>660</v>
      </c>
      <c r="G487" s="2" t="s">
        <v>661</v>
      </c>
      <c r="H487" s="2">
        <f>IF(C487="Dynasty Autographs",Calculator!$E$4,IF(C487="Debut Day Inscriptions",Calculator!$E$5,IFERROR(VALUE(SUBSTITUTE(F487,"/","")),0)))</f>
        <v>1</v>
      </c>
      <c r="I487" s="2">
        <f t="shared" si="49"/>
        <v>0</v>
      </c>
      <c r="J487" s="2">
        <f t="shared" si="50"/>
        <v>0</v>
      </c>
      <c r="K487" s="2">
        <f t="shared" si="51"/>
        <v>0</v>
      </c>
      <c r="L487" s="2">
        <f t="shared" si="52"/>
        <v>0</v>
      </c>
      <c r="M487" s="2">
        <f t="shared" si="53"/>
        <v>0</v>
      </c>
      <c r="N487" s="2">
        <f t="shared" si="54"/>
        <v>1</v>
      </c>
      <c r="O487" s="2">
        <f t="shared" si="55"/>
        <v>1</v>
      </c>
    </row>
    <row r="488" spans="1:15" x14ac:dyDescent="0.35">
      <c r="A488" s="2" t="s">
        <v>668</v>
      </c>
      <c r="B488" s="2" t="s">
        <v>23</v>
      </c>
      <c r="C488" s="2" t="s">
        <v>657</v>
      </c>
      <c r="D488" s="2" t="s">
        <v>658</v>
      </c>
      <c r="E488" s="2" t="s">
        <v>669</v>
      </c>
      <c r="F488" s="2" t="s">
        <v>660</v>
      </c>
      <c r="G488" s="2" t="s">
        <v>661</v>
      </c>
      <c r="H488" s="2">
        <f>IF(C488="Dynasty Autographs",Calculator!$E$4,IF(C488="Debut Day Inscriptions",Calculator!$E$5,IFERROR(VALUE(SUBSTITUTE(F488,"/","")),0)))</f>
        <v>1</v>
      </c>
      <c r="I488" s="2">
        <f t="shared" si="49"/>
        <v>0</v>
      </c>
      <c r="J488" s="2">
        <f t="shared" si="50"/>
        <v>0</v>
      </c>
      <c r="K488" s="2">
        <f t="shared" si="51"/>
        <v>0</v>
      </c>
      <c r="L488" s="2">
        <f t="shared" si="52"/>
        <v>0</v>
      </c>
      <c r="M488" s="2">
        <f t="shared" si="53"/>
        <v>0</v>
      </c>
      <c r="N488" s="2">
        <f t="shared" si="54"/>
        <v>1</v>
      </c>
      <c r="O488" s="2">
        <f t="shared" si="55"/>
        <v>1</v>
      </c>
    </row>
    <row r="489" spans="1:15" x14ac:dyDescent="0.35">
      <c r="A489" s="2" t="s">
        <v>44</v>
      </c>
      <c r="B489" s="2" t="s">
        <v>23</v>
      </c>
      <c r="C489" s="2" t="s">
        <v>657</v>
      </c>
      <c r="D489" s="2" t="s">
        <v>658</v>
      </c>
      <c r="E489" s="2" t="s">
        <v>670</v>
      </c>
      <c r="F489" s="2" t="s">
        <v>660</v>
      </c>
      <c r="G489" s="2" t="s">
        <v>661</v>
      </c>
      <c r="H489" s="2">
        <f>IF(C489="Dynasty Autographs",Calculator!$E$4,IF(C489="Debut Day Inscriptions",Calculator!$E$5,IFERROR(VALUE(SUBSTITUTE(F489,"/","")),0)))</f>
        <v>1</v>
      </c>
      <c r="I489" s="2">
        <f t="shared" si="49"/>
        <v>0</v>
      </c>
      <c r="J489" s="2">
        <f t="shared" si="50"/>
        <v>0</v>
      </c>
      <c r="K489" s="2">
        <f t="shared" si="51"/>
        <v>0</v>
      </c>
      <c r="L489" s="2">
        <f t="shared" si="52"/>
        <v>0</v>
      </c>
      <c r="M489" s="2">
        <f t="shared" si="53"/>
        <v>0</v>
      </c>
      <c r="N489" s="2">
        <f t="shared" si="54"/>
        <v>1</v>
      </c>
      <c r="O489" s="2">
        <f t="shared" si="55"/>
        <v>1</v>
      </c>
    </row>
    <row r="490" spans="1:15" x14ac:dyDescent="0.35">
      <c r="A490" s="2" t="s">
        <v>671</v>
      </c>
      <c r="B490" s="2" t="s">
        <v>136</v>
      </c>
      <c r="C490" s="2" t="s">
        <v>657</v>
      </c>
      <c r="D490" s="2" t="s">
        <v>658</v>
      </c>
      <c r="E490" s="2" t="s">
        <v>672</v>
      </c>
      <c r="F490" s="2" t="s">
        <v>660</v>
      </c>
      <c r="G490" s="2" t="s">
        <v>661</v>
      </c>
      <c r="H490" s="2">
        <f>IF(C490="Dynasty Autographs",Calculator!$E$4,IF(C490="Debut Day Inscriptions",Calculator!$E$5,IFERROR(VALUE(SUBSTITUTE(F490,"/","")),0)))</f>
        <v>1</v>
      </c>
      <c r="I490" s="2">
        <f t="shared" si="49"/>
        <v>0</v>
      </c>
      <c r="J490" s="2">
        <f t="shared" si="50"/>
        <v>0</v>
      </c>
      <c r="K490" s="2">
        <f t="shared" si="51"/>
        <v>0</v>
      </c>
      <c r="L490" s="2">
        <f t="shared" si="52"/>
        <v>0</v>
      </c>
      <c r="M490" s="2">
        <f t="shared" si="53"/>
        <v>0</v>
      </c>
      <c r="N490" s="2">
        <f t="shared" si="54"/>
        <v>1</v>
      </c>
      <c r="O490" s="2">
        <f t="shared" si="55"/>
        <v>1</v>
      </c>
    </row>
    <row r="491" spans="1:15" x14ac:dyDescent="0.35">
      <c r="A491" s="2" t="s">
        <v>115</v>
      </c>
      <c r="B491" s="2" t="s">
        <v>16</v>
      </c>
      <c r="C491" s="2" t="s">
        <v>657</v>
      </c>
      <c r="D491" s="2" t="s">
        <v>658</v>
      </c>
      <c r="E491" s="2" t="s">
        <v>673</v>
      </c>
      <c r="F491" s="2" t="s">
        <v>660</v>
      </c>
      <c r="G491" s="2" t="s">
        <v>661</v>
      </c>
      <c r="H491" s="2">
        <f>IF(C491="Dynasty Autographs",Calculator!$E$4,IF(C491="Debut Day Inscriptions",Calculator!$E$5,IFERROR(VALUE(SUBSTITUTE(F491,"/","")),0)))</f>
        <v>1</v>
      </c>
      <c r="I491" s="2">
        <f t="shared" si="49"/>
        <v>0</v>
      </c>
      <c r="J491" s="2">
        <f t="shared" si="50"/>
        <v>0</v>
      </c>
      <c r="K491" s="2">
        <f t="shared" si="51"/>
        <v>0</v>
      </c>
      <c r="L491" s="2">
        <f t="shared" si="52"/>
        <v>0</v>
      </c>
      <c r="M491" s="2">
        <f t="shared" si="53"/>
        <v>0</v>
      </c>
      <c r="N491" s="2">
        <f t="shared" si="54"/>
        <v>1</v>
      </c>
      <c r="O491" s="2">
        <f t="shared" si="55"/>
        <v>1</v>
      </c>
    </row>
    <row r="492" spans="1:15" x14ac:dyDescent="0.35">
      <c r="A492" s="2" t="s">
        <v>51</v>
      </c>
      <c r="B492" s="2" t="s">
        <v>52</v>
      </c>
      <c r="C492" s="2" t="s">
        <v>657</v>
      </c>
      <c r="D492" s="2" t="s">
        <v>658</v>
      </c>
      <c r="E492" s="2" t="s">
        <v>674</v>
      </c>
      <c r="F492" s="2" t="s">
        <v>660</v>
      </c>
      <c r="G492" s="2" t="s">
        <v>661</v>
      </c>
      <c r="H492" s="2">
        <f>IF(C492="Dynasty Autographs",Calculator!$E$4,IF(C492="Debut Day Inscriptions",Calculator!$E$5,IFERROR(VALUE(SUBSTITUTE(F492,"/","")),0)))</f>
        <v>1</v>
      </c>
      <c r="I492" s="2">
        <f t="shared" si="49"/>
        <v>0</v>
      </c>
      <c r="J492" s="2">
        <f t="shared" si="50"/>
        <v>0</v>
      </c>
      <c r="K492" s="2">
        <f t="shared" si="51"/>
        <v>0</v>
      </c>
      <c r="L492" s="2">
        <f t="shared" si="52"/>
        <v>0</v>
      </c>
      <c r="M492" s="2">
        <f t="shared" si="53"/>
        <v>0</v>
      </c>
      <c r="N492" s="2">
        <f t="shared" si="54"/>
        <v>1</v>
      </c>
      <c r="O492" s="2">
        <f t="shared" si="55"/>
        <v>1</v>
      </c>
    </row>
    <row r="493" spans="1:15" x14ac:dyDescent="0.35">
      <c r="A493" s="2" t="s">
        <v>124</v>
      </c>
      <c r="B493" s="2" t="s">
        <v>26</v>
      </c>
      <c r="C493" s="2" t="s">
        <v>657</v>
      </c>
      <c r="D493" s="2" t="s">
        <v>658</v>
      </c>
      <c r="E493" s="2" t="s">
        <v>675</v>
      </c>
      <c r="F493" s="2" t="s">
        <v>660</v>
      </c>
      <c r="G493" s="2" t="s">
        <v>661</v>
      </c>
      <c r="H493" s="2">
        <f>IF(C493="Dynasty Autographs",Calculator!$E$4,IF(C493="Debut Day Inscriptions",Calculator!$E$5,IFERROR(VALUE(SUBSTITUTE(F493,"/","")),0)))</f>
        <v>1</v>
      </c>
      <c r="I493" s="2">
        <f t="shared" si="49"/>
        <v>0</v>
      </c>
      <c r="J493" s="2">
        <f t="shared" si="50"/>
        <v>0</v>
      </c>
      <c r="K493" s="2">
        <f t="shared" si="51"/>
        <v>0</v>
      </c>
      <c r="L493" s="2">
        <f t="shared" si="52"/>
        <v>0</v>
      </c>
      <c r="M493" s="2">
        <f t="shared" si="53"/>
        <v>0</v>
      </c>
      <c r="N493" s="2">
        <f t="shared" si="54"/>
        <v>1</v>
      </c>
      <c r="O493" s="2">
        <f t="shared" si="55"/>
        <v>1</v>
      </c>
    </row>
    <row r="494" spans="1:15" x14ac:dyDescent="0.35">
      <c r="A494" s="2" t="s">
        <v>126</v>
      </c>
      <c r="B494" s="2" t="s">
        <v>16</v>
      </c>
      <c r="C494" s="2" t="s">
        <v>657</v>
      </c>
      <c r="D494" s="2" t="s">
        <v>658</v>
      </c>
      <c r="E494" s="2" t="s">
        <v>676</v>
      </c>
      <c r="F494" s="2" t="s">
        <v>660</v>
      </c>
      <c r="G494" s="2" t="s">
        <v>661</v>
      </c>
      <c r="H494" s="2">
        <f>IF(C494="Dynasty Autographs",Calculator!$E$4,IF(C494="Debut Day Inscriptions",Calculator!$E$5,IFERROR(VALUE(SUBSTITUTE(F494,"/","")),0)))</f>
        <v>1</v>
      </c>
      <c r="I494" s="2">
        <f t="shared" si="49"/>
        <v>0</v>
      </c>
      <c r="J494" s="2">
        <f t="shared" si="50"/>
        <v>0</v>
      </c>
      <c r="K494" s="2">
        <f t="shared" si="51"/>
        <v>0</v>
      </c>
      <c r="L494" s="2">
        <f t="shared" si="52"/>
        <v>0</v>
      </c>
      <c r="M494" s="2">
        <f t="shared" si="53"/>
        <v>0</v>
      </c>
      <c r="N494" s="2">
        <f t="shared" si="54"/>
        <v>1</v>
      </c>
      <c r="O494" s="2">
        <f t="shared" si="55"/>
        <v>1</v>
      </c>
    </row>
    <row r="495" spans="1:15" x14ac:dyDescent="0.35">
      <c r="A495" s="2" t="s">
        <v>267</v>
      </c>
      <c r="B495" s="2" t="s">
        <v>52</v>
      </c>
      <c r="C495" s="2" t="s">
        <v>657</v>
      </c>
      <c r="D495" s="2" t="s">
        <v>658</v>
      </c>
      <c r="E495" s="2" t="s">
        <v>677</v>
      </c>
      <c r="F495" s="2" t="s">
        <v>660</v>
      </c>
      <c r="G495" s="2" t="s">
        <v>661</v>
      </c>
      <c r="H495" s="2">
        <f>IF(C495="Dynasty Autographs",Calculator!$E$4,IF(C495="Debut Day Inscriptions",Calculator!$E$5,IFERROR(VALUE(SUBSTITUTE(F495,"/","")),0)))</f>
        <v>1</v>
      </c>
      <c r="I495" s="2">
        <f t="shared" si="49"/>
        <v>0</v>
      </c>
      <c r="J495" s="2">
        <f t="shared" si="50"/>
        <v>0</v>
      </c>
      <c r="K495" s="2">
        <f t="shared" si="51"/>
        <v>0</v>
      </c>
      <c r="L495" s="2">
        <f t="shared" si="52"/>
        <v>0</v>
      </c>
      <c r="M495" s="2">
        <f t="shared" si="53"/>
        <v>0</v>
      </c>
      <c r="N495" s="2">
        <f t="shared" si="54"/>
        <v>1</v>
      </c>
      <c r="O495" s="2">
        <f t="shared" si="55"/>
        <v>1</v>
      </c>
    </row>
    <row r="496" spans="1:15" x14ac:dyDescent="0.35">
      <c r="A496" s="2" t="s">
        <v>132</v>
      </c>
      <c r="B496" s="2" t="s">
        <v>42</v>
      </c>
      <c r="C496" s="2" t="s">
        <v>657</v>
      </c>
      <c r="D496" s="2" t="s">
        <v>658</v>
      </c>
      <c r="E496" s="2" t="s">
        <v>678</v>
      </c>
      <c r="F496" s="2" t="s">
        <v>660</v>
      </c>
      <c r="G496" s="2" t="s">
        <v>661</v>
      </c>
      <c r="H496" s="2">
        <f>IF(C496="Dynasty Autographs",Calculator!$E$4,IF(C496="Debut Day Inscriptions",Calculator!$E$5,IFERROR(VALUE(SUBSTITUTE(F496,"/","")),0)))</f>
        <v>1</v>
      </c>
      <c r="I496" s="2">
        <f t="shared" si="49"/>
        <v>0</v>
      </c>
      <c r="J496" s="2">
        <f t="shared" si="50"/>
        <v>0</v>
      </c>
      <c r="K496" s="2">
        <f t="shared" si="51"/>
        <v>0</v>
      </c>
      <c r="L496" s="2">
        <f t="shared" si="52"/>
        <v>0</v>
      </c>
      <c r="M496" s="2">
        <f t="shared" si="53"/>
        <v>0</v>
      </c>
      <c r="N496" s="2">
        <f t="shared" si="54"/>
        <v>1</v>
      </c>
      <c r="O496" s="2">
        <f t="shared" si="55"/>
        <v>1</v>
      </c>
    </row>
    <row r="497" spans="1:15" x14ac:dyDescent="0.35">
      <c r="A497" s="2" t="s">
        <v>267</v>
      </c>
      <c r="B497" s="2" t="s">
        <v>16</v>
      </c>
      <c r="C497" s="2" t="s">
        <v>657</v>
      </c>
      <c r="D497" s="2" t="s">
        <v>658</v>
      </c>
      <c r="E497" s="2" t="s">
        <v>679</v>
      </c>
      <c r="F497" s="2" t="s">
        <v>660</v>
      </c>
      <c r="G497" s="2" t="s">
        <v>661</v>
      </c>
      <c r="H497" s="2">
        <f>IF(C497="Dynasty Autographs",Calculator!$E$4,IF(C497="Debut Day Inscriptions",Calculator!$E$5,IFERROR(VALUE(SUBSTITUTE(F497,"/","")),0)))</f>
        <v>1</v>
      </c>
      <c r="I497" s="2">
        <f t="shared" si="49"/>
        <v>0</v>
      </c>
      <c r="J497" s="2">
        <f t="shared" si="50"/>
        <v>0</v>
      </c>
      <c r="K497" s="2">
        <f t="shared" si="51"/>
        <v>0</v>
      </c>
      <c r="L497" s="2">
        <f t="shared" si="52"/>
        <v>0</v>
      </c>
      <c r="M497" s="2">
        <f t="shared" si="53"/>
        <v>0</v>
      </c>
      <c r="N497" s="2">
        <f t="shared" si="54"/>
        <v>1</v>
      </c>
      <c r="O497" s="2">
        <f t="shared" si="55"/>
        <v>1</v>
      </c>
    </row>
    <row r="498" spans="1:15" x14ac:dyDescent="0.35">
      <c r="A498" s="2" t="s">
        <v>134</v>
      </c>
      <c r="B498" s="2" t="s">
        <v>63</v>
      </c>
      <c r="C498" s="2" t="s">
        <v>657</v>
      </c>
      <c r="D498" s="2" t="s">
        <v>658</v>
      </c>
      <c r="E498" s="2" t="s">
        <v>680</v>
      </c>
      <c r="F498" s="2" t="s">
        <v>660</v>
      </c>
      <c r="G498" s="2" t="s">
        <v>661</v>
      </c>
      <c r="H498" s="2">
        <f>IF(C498="Dynasty Autographs",Calculator!$E$4,IF(C498="Debut Day Inscriptions",Calculator!$E$5,IFERROR(VALUE(SUBSTITUTE(F498,"/","")),0)))</f>
        <v>1</v>
      </c>
      <c r="I498" s="2">
        <f t="shared" si="49"/>
        <v>0</v>
      </c>
      <c r="J498" s="2">
        <f t="shared" si="50"/>
        <v>0</v>
      </c>
      <c r="K498" s="2">
        <f t="shared" si="51"/>
        <v>0</v>
      </c>
      <c r="L498" s="2">
        <f t="shared" si="52"/>
        <v>0</v>
      </c>
      <c r="M498" s="2">
        <f t="shared" si="53"/>
        <v>0</v>
      </c>
      <c r="N498" s="2">
        <f t="shared" si="54"/>
        <v>1</v>
      </c>
      <c r="O498" s="2">
        <f t="shared" si="55"/>
        <v>1</v>
      </c>
    </row>
    <row r="499" spans="1:15" x14ac:dyDescent="0.35">
      <c r="A499" s="2" t="s">
        <v>260</v>
      </c>
      <c r="B499" s="2" t="s">
        <v>42</v>
      </c>
      <c r="C499" s="2" t="s">
        <v>657</v>
      </c>
      <c r="D499" s="2" t="s">
        <v>658</v>
      </c>
      <c r="E499" s="2" t="s">
        <v>681</v>
      </c>
      <c r="F499" s="2" t="s">
        <v>660</v>
      </c>
      <c r="G499" s="2" t="s">
        <v>661</v>
      </c>
      <c r="H499" s="2">
        <f>IF(C499="Dynasty Autographs",Calculator!$E$4,IF(C499="Debut Day Inscriptions",Calculator!$E$5,IFERROR(VALUE(SUBSTITUTE(F499,"/","")),0)))</f>
        <v>1</v>
      </c>
      <c r="I499" s="2">
        <f t="shared" si="49"/>
        <v>0</v>
      </c>
      <c r="J499" s="2">
        <f t="shared" si="50"/>
        <v>0</v>
      </c>
      <c r="K499" s="2">
        <f t="shared" si="51"/>
        <v>0</v>
      </c>
      <c r="L499" s="2">
        <f t="shared" si="52"/>
        <v>0</v>
      </c>
      <c r="M499" s="2">
        <f t="shared" si="53"/>
        <v>0</v>
      </c>
      <c r="N499" s="2">
        <f t="shared" si="54"/>
        <v>1</v>
      </c>
      <c r="O499" s="2">
        <f t="shared" si="55"/>
        <v>1</v>
      </c>
    </row>
    <row r="500" spans="1:15" x14ac:dyDescent="0.35">
      <c r="A500" s="2" t="s">
        <v>130</v>
      </c>
      <c r="B500" s="2" t="s">
        <v>52</v>
      </c>
      <c r="C500" s="2" t="s">
        <v>657</v>
      </c>
      <c r="D500" s="2" t="s">
        <v>658</v>
      </c>
      <c r="E500" s="2" t="s">
        <v>682</v>
      </c>
      <c r="F500" s="2" t="s">
        <v>660</v>
      </c>
      <c r="G500" s="2" t="s">
        <v>661</v>
      </c>
      <c r="H500" s="2">
        <f>IF(C500="Dynasty Autographs",Calculator!$E$4,IF(C500="Debut Day Inscriptions",Calculator!$E$5,IFERROR(VALUE(SUBSTITUTE(F500,"/","")),0)))</f>
        <v>1</v>
      </c>
      <c r="I500" s="2">
        <f t="shared" si="49"/>
        <v>0</v>
      </c>
      <c r="J500" s="2">
        <f t="shared" si="50"/>
        <v>0</v>
      </c>
      <c r="K500" s="2">
        <f t="shared" si="51"/>
        <v>0</v>
      </c>
      <c r="L500" s="2">
        <f t="shared" si="52"/>
        <v>0</v>
      </c>
      <c r="M500" s="2">
        <f t="shared" si="53"/>
        <v>0</v>
      </c>
      <c r="N500" s="2">
        <f t="shared" si="54"/>
        <v>1</v>
      </c>
      <c r="O500" s="2">
        <f t="shared" si="55"/>
        <v>1</v>
      </c>
    </row>
    <row r="501" spans="1:15" x14ac:dyDescent="0.35">
      <c r="A501" s="2" t="s">
        <v>138</v>
      </c>
      <c r="B501" s="2" t="s">
        <v>71</v>
      </c>
      <c r="C501" s="2" t="s">
        <v>657</v>
      </c>
      <c r="D501" s="2" t="s">
        <v>658</v>
      </c>
      <c r="E501" s="2" t="s">
        <v>683</v>
      </c>
      <c r="F501" s="2" t="s">
        <v>660</v>
      </c>
      <c r="G501" s="2" t="s">
        <v>661</v>
      </c>
      <c r="H501" s="2">
        <f>IF(C501="Dynasty Autographs",Calculator!$E$4,IF(C501="Debut Day Inscriptions",Calculator!$E$5,IFERROR(VALUE(SUBSTITUTE(F501,"/","")),0)))</f>
        <v>1</v>
      </c>
      <c r="I501" s="2">
        <f t="shared" si="49"/>
        <v>0</v>
      </c>
      <c r="J501" s="2">
        <f t="shared" si="50"/>
        <v>0</v>
      </c>
      <c r="K501" s="2">
        <f t="shared" si="51"/>
        <v>0</v>
      </c>
      <c r="L501" s="2">
        <f t="shared" si="52"/>
        <v>0</v>
      </c>
      <c r="M501" s="2">
        <f t="shared" si="53"/>
        <v>0</v>
      </c>
      <c r="N501" s="2">
        <f t="shared" si="54"/>
        <v>1</v>
      </c>
      <c r="O501" s="2">
        <f t="shared" si="55"/>
        <v>1</v>
      </c>
    </row>
    <row r="502" spans="1:15" x14ac:dyDescent="0.35">
      <c r="A502" s="2" t="s">
        <v>60</v>
      </c>
      <c r="B502" s="2" t="s">
        <v>26</v>
      </c>
      <c r="C502" s="2" t="s">
        <v>657</v>
      </c>
      <c r="D502" s="2" t="s">
        <v>658</v>
      </c>
      <c r="E502" s="2" t="s">
        <v>684</v>
      </c>
      <c r="F502" s="2" t="s">
        <v>660</v>
      </c>
      <c r="G502" s="2" t="s">
        <v>661</v>
      </c>
      <c r="H502" s="2">
        <f>IF(C502="Dynasty Autographs",Calculator!$E$4,IF(C502="Debut Day Inscriptions",Calculator!$E$5,IFERROR(VALUE(SUBSTITUTE(F502,"/","")),0)))</f>
        <v>1</v>
      </c>
      <c r="I502" s="2">
        <f t="shared" si="49"/>
        <v>0</v>
      </c>
      <c r="J502" s="2">
        <f t="shared" si="50"/>
        <v>0</v>
      </c>
      <c r="K502" s="2">
        <f t="shared" si="51"/>
        <v>0</v>
      </c>
      <c r="L502" s="2">
        <f t="shared" si="52"/>
        <v>0</v>
      </c>
      <c r="M502" s="2">
        <f t="shared" si="53"/>
        <v>0</v>
      </c>
      <c r="N502" s="2">
        <f t="shared" si="54"/>
        <v>1</v>
      </c>
      <c r="O502" s="2">
        <f t="shared" si="55"/>
        <v>1</v>
      </c>
    </row>
    <row r="503" spans="1:15" x14ac:dyDescent="0.35">
      <c r="A503" s="2" t="s">
        <v>309</v>
      </c>
      <c r="B503" s="2" t="s">
        <v>87</v>
      </c>
      <c r="C503" s="2" t="s">
        <v>657</v>
      </c>
      <c r="D503" s="2" t="s">
        <v>658</v>
      </c>
      <c r="E503" s="2" t="s">
        <v>685</v>
      </c>
      <c r="F503" s="2" t="s">
        <v>660</v>
      </c>
      <c r="G503" s="2" t="s">
        <v>661</v>
      </c>
      <c r="H503" s="2">
        <f>IF(C503="Dynasty Autographs",Calculator!$E$4,IF(C503="Debut Day Inscriptions",Calculator!$E$5,IFERROR(VALUE(SUBSTITUTE(F503,"/","")),0)))</f>
        <v>1</v>
      </c>
      <c r="I503" s="2">
        <f t="shared" si="49"/>
        <v>0</v>
      </c>
      <c r="J503" s="2">
        <f t="shared" si="50"/>
        <v>0</v>
      </c>
      <c r="K503" s="2">
        <f t="shared" si="51"/>
        <v>0</v>
      </c>
      <c r="L503" s="2">
        <f t="shared" si="52"/>
        <v>0</v>
      </c>
      <c r="M503" s="2">
        <f t="shared" si="53"/>
        <v>0</v>
      </c>
      <c r="N503" s="2">
        <f t="shared" si="54"/>
        <v>1</v>
      </c>
      <c r="O503" s="2">
        <f t="shared" si="55"/>
        <v>1</v>
      </c>
    </row>
    <row r="504" spans="1:15" x14ac:dyDescent="0.35">
      <c r="A504" s="2" t="s">
        <v>62</v>
      </c>
      <c r="B504" s="2" t="s">
        <v>63</v>
      </c>
      <c r="C504" s="2" t="s">
        <v>657</v>
      </c>
      <c r="D504" s="2" t="s">
        <v>658</v>
      </c>
      <c r="E504" s="2" t="s">
        <v>686</v>
      </c>
      <c r="F504" s="2" t="s">
        <v>660</v>
      </c>
      <c r="G504" s="2" t="s">
        <v>661</v>
      </c>
      <c r="H504" s="2">
        <f>IF(C504="Dynasty Autographs",Calculator!$E$4,IF(C504="Debut Day Inscriptions",Calculator!$E$5,IFERROR(VALUE(SUBSTITUTE(F504,"/","")),0)))</f>
        <v>1</v>
      </c>
      <c r="I504" s="2">
        <f t="shared" si="49"/>
        <v>0</v>
      </c>
      <c r="J504" s="2">
        <f t="shared" si="50"/>
        <v>0</v>
      </c>
      <c r="K504" s="2">
        <f t="shared" si="51"/>
        <v>0</v>
      </c>
      <c r="L504" s="2">
        <f t="shared" si="52"/>
        <v>0</v>
      </c>
      <c r="M504" s="2">
        <f t="shared" si="53"/>
        <v>0</v>
      </c>
      <c r="N504" s="2">
        <f t="shared" si="54"/>
        <v>1</v>
      </c>
      <c r="O504" s="2">
        <f t="shared" si="55"/>
        <v>1</v>
      </c>
    </row>
    <row r="505" spans="1:15" x14ac:dyDescent="0.35">
      <c r="A505" s="2" t="s">
        <v>318</v>
      </c>
      <c r="B505" s="2" t="s">
        <v>52</v>
      </c>
      <c r="C505" s="2" t="s">
        <v>657</v>
      </c>
      <c r="D505" s="2" t="s">
        <v>658</v>
      </c>
      <c r="E505" s="2" t="s">
        <v>687</v>
      </c>
      <c r="F505" s="2" t="s">
        <v>660</v>
      </c>
      <c r="G505" s="2" t="s">
        <v>661</v>
      </c>
      <c r="H505" s="2">
        <f>IF(C505="Dynasty Autographs",Calculator!$E$4,IF(C505="Debut Day Inscriptions",Calculator!$E$5,IFERROR(VALUE(SUBSTITUTE(F505,"/","")),0)))</f>
        <v>1</v>
      </c>
      <c r="I505" s="2">
        <f t="shared" si="49"/>
        <v>0</v>
      </c>
      <c r="J505" s="2">
        <f t="shared" si="50"/>
        <v>0</v>
      </c>
      <c r="K505" s="2">
        <f t="shared" si="51"/>
        <v>0</v>
      </c>
      <c r="L505" s="2">
        <f t="shared" si="52"/>
        <v>0</v>
      </c>
      <c r="M505" s="2">
        <f t="shared" si="53"/>
        <v>0</v>
      </c>
      <c r="N505" s="2">
        <f t="shared" si="54"/>
        <v>1</v>
      </c>
      <c r="O505" s="2">
        <f t="shared" si="55"/>
        <v>1</v>
      </c>
    </row>
    <row r="506" spans="1:15" x14ac:dyDescent="0.35">
      <c r="A506" s="2" t="s">
        <v>322</v>
      </c>
      <c r="B506" s="2" t="s">
        <v>16</v>
      </c>
      <c r="C506" s="2" t="s">
        <v>657</v>
      </c>
      <c r="D506" s="2" t="s">
        <v>658</v>
      </c>
      <c r="E506" s="2" t="s">
        <v>688</v>
      </c>
      <c r="F506" s="2" t="s">
        <v>660</v>
      </c>
      <c r="G506" s="2" t="s">
        <v>661</v>
      </c>
      <c r="H506" s="2">
        <f>IF(C506="Dynasty Autographs",Calculator!$E$4,IF(C506="Debut Day Inscriptions",Calculator!$E$5,IFERROR(VALUE(SUBSTITUTE(F506,"/","")),0)))</f>
        <v>1</v>
      </c>
      <c r="I506" s="2">
        <f t="shared" si="49"/>
        <v>0</v>
      </c>
      <c r="J506" s="2">
        <f t="shared" si="50"/>
        <v>0</v>
      </c>
      <c r="K506" s="2">
        <f t="shared" si="51"/>
        <v>0</v>
      </c>
      <c r="L506" s="2">
        <f t="shared" si="52"/>
        <v>0</v>
      </c>
      <c r="M506" s="2">
        <f t="shared" si="53"/>
        <v>0</v>
      </c>
      <c r="N506" s="2">
        <f t="shared" si="54"/>
        <v>1</v>
      </c>
      <c r="O506" s="2">
        <f t="shared" si="55"/>
        <v>1</v>
      </c>
    </row>
    <row r="507" spans="1:15" x14ac:dyDescent="0.35">
      <c r="A507" s="2" t="s">
        <v>65</v>
      </c>
      <c r="B507" s="2" t="s">
        <v>23</v>
      </c>
      <c r="C507" s="2" t="s">
        <v>657</v>
      </c>
      <c r="D507" s="2" t="s">
        <v>658</v>
      </c>
      <c r="E507" s="2" t="s">
        <v>689</v>
      </c>
      <c r="F507" s="2" t="s">
        <v>660</v>
      </c>
      <c r="G507" s="2" t="s">
        <v>661</v>
      </c>
      <c r="H507" s="2">
        <f>IF(C507="Dynasty Autographs",Calculator!$E$4,IF(C507="Debut Day Inscriptions",Calculator!$E$5,IFERROR(VALUE(SUBSTITUTE(F507,"/","")),0)))</f>
        <v>1</v>
      </c>
      <c r="I507" s="2">
        <f t="shared" si="49"/>
        <v>0</v>
      </c>
      <c r="J507" s="2">
        <f t="shared" si="50"/>
        <v>0</v>
      </c>
      <c r="K507" s="2">
        <f t="shared" si="51"/>
        <v>0</v>
      </c>
      <c r="L507" s="2">
        <f t="shared" si="52"/>
        <v>0</v>
      </c>
      <c r="M507" s="2">
        <f t="shared" si="53"/>
        <v>0</v>
      </c>
      <c r="N507" s="2">
        <f t="shared" si="54"/>
        <v>1</v>
      </c>
      <c r="O507" s="2">
        <f t="shared" si="55"/>
        <v>1</v>
      </c>
    </row>
    <row r="508" spans="1:15" x14ac:dyDescent="0.35">
      <c r="A508" s="2" t="s">
        <v>396</v>
      </c>
      <c r="B508" s="2" t="s">
        <v>139</v>
      </c>
      <c r="C508" s="2" t="s">
        <v>657</v>
      </c>
      <c r="D508" s="2" t="s">
        <v>690</v>
      </c>
      <c r="E508" s="2" t="s">
        <v>691</v>
      </c>
      <c r="F508" s="2" t="s">
        <v>660</v>
      </c>
      <c r="G508" s="2" t="s">
        <v>661</v>
      </c>
      <c r="H508" s="2">
        <f>IF(C508="Dynasty Autographs",Calculator!$E$4,IF(C508="Debut Day Inscriptions",Calculator!$E$5,IFERROR(VALUE(SUBSTITUTE(F508,"/","")),0)))</f>
        <v>1</v>
      </c>
      <c r="I508" s="2">
        <f t="shared" si="49"/>
        <v>0</v>
      </c>
      <c r="J508" s="2">
        <f t="shared" si="50"/>
        <v>0</v>
      </c>
      <c r="K508" s="2">
        <f t="shared" si="51"/>
        <v>0</v>
      </c>
      <c r="L508" s="2">
        <f t="shared" si="52"/>
        <v>0</v>
      </c>
      <c r="M508" s="2">
        <f t="shared" si="53"/>
        <v>0</v>
      </c>
      <c r="N508" s="2">
        <f t="shared" si="54"/>
        <v>1</v>
      </c>
      <c r="O508" s="2">
        <f t="shared" si="55"/>
        <v>1</v>
      </c>
    </row>
    <row r="509" spans="1:15" x14ac:dyDescent="0.35">
      <c r="A509" s="2" t="s">
        <v>692</v>
      </c>
      <c r="B509" s="2" t="s">
        <v>693</v>
      </c>
      <c r="C509" s="2" t="s">
        <v>657</v>
      </c>
      <c r="D509" s="2" t="s">
        <v>690</v>
      </c>
      <c r="E509" s="2" t="s">
        <v>694</v>
      </c>
      <c r="F509" s="2" t="s">
        <v>660</v>
      </c>
      <c r="G509" s="2" t="s">
        <v>661</v>
      </c>
      <c r="H509" s="2">
        <f>IF(C509="Dynasty Autographs",Calculator!$E$4,IF(C509="Debut Day Inscriptions",Calculator!$E$5,IFERROR(VALUE(SUBSTITUTE(F509,"/","")),0)))</f>
        <v>1</v>
      </c>
      <c r="I509" s="2">
        <f t="shared" si="49"/>
        <v>0</v>
      </c>
      <c r="J509" s="2">
        <f t="shared" si="50"/>
        <v>0</v>
      </c>
      <c r="K509" s="2">
        <f t="shared" si="51"/>
        <v>0</v>
      </c>
      <c r="L509" s="2">
        <f t="shared" si="52"/>
        <v>0</v>
      </c>
      <c r="M509" s="2">
        <f t="shared" si="53"/>
        <v>0</v>
      </c>
      <c r="N509" s="2">
        <f t="shared" si="54"/>
        <v>1</v>
      </c>
      <c r="O509" s="2">
        <f t="shared" si="55"/>
        <v>1</v>
      </c>
    </row>
    <row r="510" spans="1:15" x14ac:dyDescent="0.35">
      <c r="A510" s="2" t="s">
        <v>357</v>
      </c>
      <c r="B510" s="2" t="s">
        <v>63</v>
      </c>
      <c r="C510" s="2" t="s">
        <v>657</v>
      </c>
      <c r="D510" s="2" t="s">
        <v>690</v>
      </c>
      <c r="E510" s="2" t="s">
        <v>695</v>
      </c>
      <c r="F510" s="2" t="s">
        <v>660</v>
      </c>
      <c r="G510" s="2" t="s">
        <v>661</v>
      </c>
      <c r="H510" s="2">
        <f>IF(C510="Dynasty Autographs",Calculator!$E$4,IF(C510="Debut Day Inscriptions",Calculator!$E$5,IFERROR(VALUE(SUBSTITUTE(F510,"/","")),0)))</f>
        <v>1</v>
      </c>
      <c r="I510" s="2">
        <f t="shared" si="49"/>
        <v>0</v>
      </c>
      <c r="J510" s="2">
        <f t="shared" si="50"/>
        <v>0</v>
      </c>
      <c r="K510" s="2">
        <f t="shared" si="51"/>
        <v>0</v>
      </c>
      <c r="L510" s="2">
        <f t="shared" si="52"/>
        <v>0</v>
      </c>
      <c r="M510" s="2">
        <f t="shared" si="53"/>
        <v>0</v>
      </c>
      <c r="N510" s="2">
        <f t="shared" si="54"/>
        <v>1</v>
      </c>
      <c r="O510" s="2">
        <f t="shared" si="55"/>
        <v>1</v>
      </c>
    </row>
    <row r="511" spans="1:15" x14ac:dyDescent="0.35">
      <c r="A511" s="2" t="s">
        <v>67</v>
      </c>
      <c r="B511" s="2" t="s">
        <v>36</v>
      </c>
      <c r="C511" s="2" t="s">
        <v>657</v>
      </c>
      <c r="D511" s="2" t="s">
        <v>690</v>
      </c>
      <c r="E511" s="2" t="s">
        <v>696</v>
      </c>
      <c r="F511" s="2" t="s">
        <v>660</v>
      </c>
      <c r="G511" s="2" t="s">
        <v>661</v>
      </c>
      <c r="H511" s="2">
        <f>IF(C511="Dynasty Autographs",Calculator!$E$4,IF(C511="Debut Day Inscriptions",Calculator!$E$5,IFERROR(VALUE(SUBSTITUTE(F511,"/","")),0)))</f>
        <v>1</v>
      </c>
      <c r="I511" s="2">
        <f t="shared" si="49"/>
        <v>0</v>
      </c>
      <c r="J511" s="2">
        <f t="shared" si="50"/>
        <v>0</v>
      </c>
      <c r="K511" s="2">
        <f t="shared" si="51"/>
        <v>0</v>
      </c>
      <c r="L511" s="2">
        <f t="shared" si="52"/>
        <v>0</v>
      </c>
      <c r="M511" s="2">
        <f t="shared" si="53"/>
        <v>0</v>
      </c>
      <c r="N511" s="2">
        <f t="shared" si="54"/>
        <v>1</v>
      </c>
      <c r="O511" s="2">
        <f t="shared" si="55"/>
        <v>1</v>
      </c>
    </row>
    <row r="512" spans="1:15" x14ac:dyDescent="0.35">
      <c r="A512" s="2" t="s">
        <v>372</v>
      </c>
      <c r="B512" s="2" t="s">
        <v>142</v>
      </c>
      <c r="C512" s="2" t="s">
        <v>657</v>
      </c>
      <c r="D512" s="2" t="s">
        <v>690</v>
      </c>
      <c r="E512" s="2" t="s">
        <v>697</v>
      </c>
      <c r="F512" s="2" t="s">
        <v>660</v>
      </c>
      <c r="G512" s="2" t="s">
        <v>661</v>
      </c>
      <c r="H512" s="2">
        <f>IF(C512="Dynasty Autographs",Calculator!$E$4,IF(C512="Debut Day Inscriptions",Calculator!$E$5,IFERROR(VALUE(SUBSTITUTE(F512,"/","")),0)))</f>
        <v>1</v>
      </c>
      <c r="I512" s="2">
        <f t="shared" si="49"/>
        <v>0</v>
      </c>
      <c r="J512" s="2">
        <f t="shared" si="50"/>
        <v>0</v>
      </c>
      <c r="K512" s="2">
        <f t="shared" si="51"/>
        <v>0</v>
      </c>
      <c r="L512" s="2">
        <f t="shared" si="52"/>
        <v>0</v>
      </c>
      <c r="M512" s="2">
        <f t="shared" si="53"/>
        <v>0</v>
      </c>
      <c r="N512" s="2">
        <f t="shared" si="54"/>
        <v>1</v>
      </c>
      <c r="O512" s="2">
        <f t="shared" si="55"/>
        <v>1</v>
      </c>
    </row>
    <row r="513" spans="1:15" x14ac:dyDescent="0.35">
      <c r="A513" s="2" t="s">
        <v>378</v>
      </c>
      <c r="B513" s="2" t="s">
        <v>42</v>
      </c>
      <c r="C513" s="2" t="s">
        <v>657</v>
      </c>
      <c r="D513" s="2" t="s">
        <v>690</v>
      </c>
      <c r="E513" s="2" t="s">
        <v>698</v>
      </c>
      <c r="F513" s="2" t="s">
        <v>660</v>
      </c>
      <c r="G513" s="2" t="s">
        <v>661</v>
      </c>
      <c r="H513" s="2">
        <f>IF(C513="Dynasty Autographs",Calculator!$E$4,IF(C513="Debut Day Inscriptions",Calculator!$E$5,IFERROR(VALUE(SUBSTITUTE(F513,"/","")),0)))</f>
        <v>1</v>
      </c>
      <c r="I513" s="2">
        <f t="shared" si="49"/>
        <v>0</v>
      </c>
      <c r="J513" s="2">
        <f t="shared" si="50"/>
        <v>0</v>
      </c>
      <c r="K513" s="2">
        <f t="shared" si="51"/>
        <v>0</v>
      </c>
      <c r="L513" s="2">
        <f t="shared" si="52"/>
        <v>0</v>
      </c>
      <c r="M513" s="2">
        <f t="shared" si="53"/>
        <v>0</v>
      </c>
      <c r="N513" s="2">
        <f t="shared" si="54"/>
        <v>1</v>
      </c>
      <c r="O513" s="2">
        <f t="shared" si="55"/>
        <v>1</v>
      </c>
    </row>
    <row r="514" spans="1:15" x14ac:dyDescent="0.35">
      <c r="A514" s="2" t="s">
        <v>70</v>
      </c>
      <c r="B514" s="2" t="s">
        <v>71</v>
      </c>
      <c r="C514" s="2" t="s">
        <v>657</v>
      </c>
      <c r="D514" s="2" t="s">
        <v>690</v>
      </c>
      <c r="E514" s="2" t="s">
        <v>699</v>
      </c>
      <c r="F514" s="2" t="s">
        <v>660</v>
      </c>
      <c r="G514" s="2" t="s">
        <v>661</v>
      </c>
      <c r="H514" s="2">
        <f>IF(C514="Dynasty Autographs",Calculator!$E$4,IF(C514="Debut Day Inscriptions",Calculator!$E$5,IFERROR(VALUE(SUBSTITUTE(F514,"/","")),0)))</f>
        <v>1</v>
      </c>
      <c r="I514" s="2">
        <f t="shared" ref="I514:I577" si="56">IF(H514=99,99,IF(ISNUMBER(SEARCH("/99",G514)),99,0))</f>
        <v>0</v>
      </c>
      <c r="J514" s="2">
        <f t="shared" ref="J514:J527" si="57">IF(H514=50,50,IF(ISNUMBER(SEARCH("/50",G514)),50,0))</f>
        <v>0</v>
      </c>
      <c r="K514" s="2">
        <f t="shared" ref="K514:K527" si="58">IF(H514=25,25,IF(ISNUMBER(SEARCH("/25",G514)),25,0))</f>
        <v>0</v>
      </c>
      <c r="L514" s="2">
        <f t="shared" ref="L514:L527" si="59">IF(H514=10,10,IF(ISNUMBER(SEARCH("/10",G514)),10,0))</f>
        <v>0</v>
      </c>
      <c r="M514" s="2">
        <f t="shared" ref="M514:M527" si="60">IF(H514=5,5,IF(ISNUMBER(SEARCH("/5",G514)),5,0))</f>
        <v>0</v>
      </c>
      <c r="N514" s="2">
        <f t="shared" ref="N514:N527" si="61">IF(H514=1,1,IF(ISNUMBER(SEARCH("1/1",G514)),1,0))</f>
        <v>1</v>
      </c>
      <c r="O514" s="2">
        <f t="shared" ref="O514:O577" si="62">SUM(I514:N514)</f>
        <v>1</v>
      </c>
    </row>
    <row r="515" spans="1:15" x14ac:dyDescent="0.35">
      <c r="A515" s="2" t="s">
        <v>73</v>
      </c>
      <c r="B515" s="2" t="s">
        <v>52</v>
      </c>
      <c r="C515" s="2" t="s">
        <v>657</v>
      </c>
      <c r="D515" s="2" t="s">
        <v>690</v>
      </c>
      <c r="E515" s="2" t="s">
        <v>700</v>
      </c>
      <c r="F515" s="2" t="s">
        <v>660</v>
      </c>
      <c r="G515" s="2" t="s">
        <v>661</v>
      </c>
      <c r="H515" s="2">
        <f>IF(C515="Dynasty Autographs",Calculator!$E$4,IF(C515="Debut Day Inscriptions",Calculator!$E$5,IFERROR(VALUE(SUBSTITUTE(F515,"/","")),0)))</f>
        <v>1</v>
      </c>
      <c r="I515" s="2">
        <f t="shared" si="56"/>
        <v>0</v>
      </c>
      <c r="J515" s="2">
        <f t="shared" si="57"/>
        <v>0</v>
      </c>
      <c r="K515" s="2">
        <f t="shared" si="58"/>
        <v>0</v>
      </c>
      <c r="L515" s="2">
        <f t="shared" si="59"/>
        <v>0</v>
      </c>
      <c r="M515" s="2">
        <f t="shared" si="60"/>
        <v>0</v>
      </c>
      <c r="N515" s="2">
        <f t="shared" si="61"/>
        <v>1</v>
      </c>
      <c r="O515" s="2">
        <f t="shared" si="62"/>
        <v>1</v>
      </c>
    </row>
    <row r="516" spans="1:15" x14ac:dyDescent="0.35">
      <c r="A516" s="2" t="s">
        <v>341</v>
      </c>
      <c r="B516" s="2" t="s">
        <v>63</v>
      </c>
      <c r="C516" s="2" t="s">
        <v>657</v>
      </c>
      <c r="D516" s="2" t="s">
        <v>690</v>
      </c>
      <c r="E516" s="2" t="s">
        <v>701</v>
      </c>
      <c r="F516" s="2" t="s">
        <v>660</v>
      </c>
      <c r="G516" s="2" t="s">
        <v>661</v>
      </c>
      <c r="H516" s="2">
        <f>IF(C516="Dynasty Autographs",Calculator!$E$4,IF(C516="Debut Day Inscriptions",Calculator!$E$5,IFERROR(VALUE(SUBSTITUTE(F516,"/","")),0)))</f>
        <v>1</v>
      </c>
      <c r="I516" s="2">
        <f t="shared" si="56"/>
        <v>0</v>
      </c>
      <c r="J516" s="2">
        <f t="shared" si="57"/>
        <v>0</v>
      </c>
      <c r="K516" s="2">
        <f t="shared" si="58"/>
        <v>0</v>
      </c>
      <c r="L516" s="2">
        <f t="shared" si="59"/>
        <v>0</v>
      </c>
      <c r="M516" s="2">
        <f t="shared" si="60"/>
        <v>0</v>
      </c>
      <c r="N516" s="2">
        <f t="shared" si="61"/>
        <v>1</v>
      </c>
      <c r="O516" s="2">
        <f t="shared" si="62"/>
        <v>1</v>
      </c>
    </row>
    <row r="517" spans="1:15" x14ac:dyDescent="0.35">
      <c r="A517" s="2" t="s">
        <v>78</v>
      </c>
      <c r="B517" s="2" t="s">
        <v>26</v>
      </c>
      <c r="C517" s="2" t="s">
        <v>657</v>
      </c>
      <c r="D517" s="2" t="s">
        <v>690</v>
      </c>
      <c r="E517" s="2" t="s">
        <v>702</v>
      </c>
      <c r="F517" s="2" t="s">
        <v>660</v>
      </c>
      <c r="G517" s="2" t="s">
        <v>661</v>
      </c>
      <c r="H517" s="2">
        <f>IF(C517="Dynasty Autographs",Calculator!$E$4,IF(C517="Debut Day Inscriptions",Calculator!$E$5,IFERROR(VALUE(SUBSTITUTE(F517,"/","")),0)))</f>
        <v>1</v>
      </c>
      <c r="I517" s="2">
        <f t="shared" si="56"/>
        <v>0</v>
      </c>
      <c r="J517" s="2">
        <f t="shared" si="57"/>
        <v>0</v>
      </c>
      <c r="K517" s="2">
        <f t="shared" si="58"/>
        <v>0</v>
      </c>
      <c r="L517" s="2">
        <f t="shared" si="59"/>
        <v>0</v>
      </c>
      <c r="M517" s="2">
        <f t="shared" si="60"/>
        <v>0</v>
      </c>
      <c r="N517" s="2">
        <f t="shared" si="61"/>
        <v>1</v>
      </c>
      <c r="O517" s="2">
        <f t="shared" si="62"/>
        <v>1</v>
      </c>
    </row>
    <row r="518" spans="1:15" x14ac:dyDescent="0.35">
      <c r="A518" s="2" t="s">
        <v>80</v>
      </c>
      <c r="B518" s="2" t="s">
        <v>42</v>
      </c>
      <c r="C518" s="2" t="s">
        <v>657</v>
      </c>
      <c r="D518" s="2" t="s">
        <v>690</v>
      </c>
      <c r="E518" s="2" t="s">
        <v>703</v>
      </c>
      <c r="F518" s="2" t="s">
        <v>660</v>
      </c>
      <c r="G518" s="2" t="s">
        <v>661</v>
      </c>
      <c r="H518" s="2">
        <f>IF(C518="Dynasty Autographs",Calculator!$E$4,IF(C518="Debut Day Inscriptions",Calculator!$E$5,IFERROR(VALUE(SUBSTITUTE(F518,"/","")),0)))</f>
        <v>1</v>
      </c>
      <c r="I518" s="2">
        <f t="shared" si="56"/>
        <v>0</v>
      </c>
      <c r="J518" s="2">
        <f t="shared" si="57"/>
        <v>0</v>
      </c>
      <c r="K518" s="2">
        <f t="shared" si="58"/>
        <v>0</v>
      </c>
      <c r="L518" s="2">
        <f t="shared" si="59"/>
        <v>0</v>
      </c>
      <c r="M518" s="2">
        <f t="shared" si="60"/>
        <v>0</v>
      </c>
      <c r="N518" s="2">
        <f t="shared" si="61"/>
        <v>1</v>
      </c>
      <c r="O518" s="2">
        <f t="shared" si="62"/>
        <v>1</v>
      </c>
    </row>
    <row r="519" spans="1:15" x14ac:dyDescent="0.35">
      <c r="A519" s="2" t="s">
        <v>82</v>
      </c>
      <c r="B519" s="2" t="s">
        <v>26</v>
      </c>
      <c r="C519" s="2" t="s">
        <v>657</v>
      </c>
      <c r="D519" s="2" t="s">
        <v>690</v>
      </c>
      <c r="E519" s="2" t="s">
        <v>704</v>
      </c>
      <c r="F519" s="2" t="s">
        <v>660</v>
      </c>
      <c r="G519" s="2" t="s">
        <v>661</v>
      </c>
      <c r="H519" s="2">
        <f>IF(C519="Dynasty Autographs",Calculator!$E$4,IF(C519="Debut Day Inscriptions",Calculator!$E$5,IFERROR(VALUE(SUBSTITUTE(F519,"/","")),0)))</f>
        <v>1</v>
      </c>
      <c r="I519" s="2">
        <f t="shared" si="56"/>
        <v>0</v>
      </c>
      <c r="J519" s="2">
        <f t="shared" si="57"/>
        <v>0</v>
      </c>
      <c r="K519" s="2">
        <f t="shared" si="58"/>
        <v>0</v>
      </c>
      <c r="L519" s="2">
        <f t="shared" si="59"/>
        <v>0</v>
      </c>
      <c r="M519" s="2">
        <f t="shared" si="60"/>
        <v>0</v>
      </c>
      <c r="N519" s="2">
        <f t="shared" si="61"/>
        <v>1</v>
      </c>
      <c r="O519" s="2">
        <f t="shared" si="62"/>
        <v>1</v>
      </c>
    </row>
    <row r="520" spans="1:15" x14ac:dyDescent="0.35">
      <c r="A520" s="2" t="s">
        <v>84</v>
      </c>
      <c r="B520" s="2" t="s">
        <v>63</v>
      </c>
      <c r="C520" s="2" t="s">
        <v>657</v>
      </c>
      <c r="D520" s="2" t="s">
        <v>690</v>
      </c>
      <c r="E520" s="2" t="s">
        <v>705</v>
      </c>
      <c r="F520" s="2" t="s">
        <v>660</v>
      </c>
      <c r="G520" s="2" t="s">
        <v>661</v>
      </c>
      <c r="H520" s="2">
        <f>IF(C520="Dynasty Autographs",Calculator!$E$4,IF(C520="Debut Day Inscriptions",Calculator!$E$5,IFERROR(VALUE(SUBSTITUTE(F520,"/","")),0)))</f>
        <v>1</v>
      </c>
      <c r="I520" s="2">
        <f t="shared" si="56"/>
        <v>0</v>
      </c>
      <c r="J520" s="2">
        <f t="shared" si="57"/>
        <v>0</v>
      </c>
      <c r="K520" s="2">
        <f t="shared" si="58"/>
        <v>0</v>
      </c>
      <c r="L520" s="2">
        <f t="shared" si="59"/>
        <v>0</v>
      </c>
      <c r="M520" s="2">
        <f t="shared" si="60"/>
        <v>0</v>
      </c>
      <c r="N520" s="2">
        <f t="shared" si="61"/>
        <v>1</v>
      </c>
      <c r="O520" s="2">
        <f t="shared" si="62"/>
        <v>1</v>
      </c>
    </row>
    <row r="521" spans="1:15" x14ac:dyDescent="0.35">
      <c r="A521" s="2" t="s">
        <v>421</v>
      </c>
      <c r="B521" s="2" t="s">
        <v>136</v>
      </c>
      <c r="C521" s="2" t="s">
        <v>657</v>
      </c>
      <c r="D521" s="2" t="s">
        <v>690</v>
      </c>
      <c r="E521" s="2" t="s">
        <v>706</v>
      </c>
      <c r="F521" s="2" t="s">
        <v>660</v>
      </c>
      <c r="G521" s="2" t="s">
        <v>661</v>
      </c>
      <c r="H521" s="2">
        <f>IF(C521="Dynasty Autographs",Calculator!$E$4,IF(C521="Debut Day Inscriptions",Calculator!$E$5,IFERROR(VALUE(SUBSTITUTE(F521,"/","")),0)))</f>
        <v>1</v>
      </c>
      <c r="I521" s="2">
        <f t="shared" si="56"/>
        <v>0</v>
      </c>
      <c r="J521" s="2">
        <f t="shared" si="57"/>
        <v>0</v>
      </c>
      <c r="K521" s="2">
        <f t="shared" si="58"/>
        <v>0</v>
      </c>
      <c r="L521" s="2">
        <f t="shared" si="59"/>
        <v>0</v>
      </c>
      <c r="M521" s="2">
        <f t="shared" si="60"/>
        <v>0</v>
      </c>
      <c r="N521" s="2">
        <f t="shared" si="61"/>
        <v>1</v>
      </c>
      <c r="O521" s="2">
        <f t="shared" si="62"/>
        <v>1</v>
      </c>
    </row>
    <row r="522" spans="1:15" x14ac:dyDescent="0.35">
      <c r="A522" s="2" t="s">
        <v>430</v>
      </c>
      <c r="B522" s="2" t="s">
        <v>42</v>
      </c>
      <c r="C522" s="2" t="s">
        <v>657</v>
      </c>
      <c r="D522" s="2" t="s">
        <v>690</v>
      </c>
      <c r="E522" s="2" t="s">
        <v>707</v>
      </c>
      <c r="F522" s="2" t="s">
        <v>660</v>
      </c>
      <c r="G522" s="2" t="s">
        <v>661</v>
      </c>
      <c r="H522" s="2">
        <f>IF(C522="Dynasty Autographs",Calculator!$E$4,IF(C522="Debut Day Inscriptions",Calculator!$E$5,IFERROR(VALUE(SUBSTITUTE(F522,"/","")),0)))</f>
        <v>1</v>
      </c>
      <c r="I522" s="2">
        <f t="shared" si="56"/>
        <v>0</v>
      </c>
      <c r="J522" s="2">
        <f t="shared" si="57"/>
        <v>0</v>
      </c>
      <c r="K522" s="2">
        <f t="shared" si="58"/>
        <v>0</v>
      </c>
      <c r="L522" s="2">
        <f t="shared" si="59"/>
        <v>0</v>
      </c>
      <c r="M522" s="2">
        <f t="shared" si="60"/>
        <v>0</v>
      </c>
      <c r="N522" s="2">
        <f t="shared" si="61"/>
        <v>1</v>
      </c>
      <c r="O522" s="2">
        <f t="shared" si="62"/>
        <v>1</v>
      </c>
    </row>
    <row r="523" spans="1:15" x14ac:dyDescent="0.35">
      <c r="A523" s="2" t="s">
        <v>86</v>
      </c>
      <c r="B523" s="2" t="s">
        <v>87</v>
      </c>
      <c r="C523" s="2" t="s">
        <v>657</v>
      </c>
      <c r="D523" s="2" t="s">
        <v>690</v>
      </c>
      <c r="E523" s="2" t="s">
        <v>708</v>
      </c>
      <c r="F523" s="2" t="s">
        <v>660</v>
      </c>
      <c r="G523" s="2" t="s">
        <v>661</v>
      </c>
      <c r="H523" s="2">
        <f>IF(C523="Dynasty Autographs",Calculator!$E$4,IF(C523="Debut Day Inscriptions",Calculator!$E$5,IFERROR(VALUE(SUBSTITUTE(F523,"/","")),0)))</f>
        <v>1</v>
      </c>
      <c r="I523" s="2">
        <f t="shared" si="56"/>
        <v>0</v>
      </c>
      <c r="J523" s="2">
        <f t="shared" si="57"/>
        <v>0</v>
      </c>
      <c r="K523" s="2">
        <f t="shared" si="58"/>
        <v>0</v>
      </c>
      <c r="L523" s="2">
        <f t="shared" si="59"/>
        <v>0</v>
      </c>
      <c r="M523" s="2">
        <f t="shared" si="60"/>
        <v>0</v>
      </c>
      <c r="N523" s="2">
        <f t="shared" si="61"/>
        <v>1</v>
      </c>
      <c r="O523" s="2">
        <f t="shared" si="62"/>
        <v>1</v>
      </c>
    </row>
    <row r="524" spans="1:15" x14ac:dyDescent="0.35">
      <c r="A524" s="2" t="s">
        <v>89</v>
      </c>
      <c r="B524" s="2" t="s">
        <v>71</v>
      </c>
      <c r="C524" s="2" t="s">
        <v>657</v>
      </c>
      <c r="D524" s="2" t="s">
        <v>690</v>
      </c>
      <c r="E524" s="2" t="s">
        <v>709</v>
      </c>
      <c r="F524" s="2" t="s">
        <v>660</v>
      </c>
      <c r="G524" s="2" t="s">
        <v>661</v>
      </c>
      <c r="H524" s="2">
        <f>IF(C524="Dynasty Autographs",Calculator!$E$4,IF(C524="Debut Day Inscriptions",Calculator!$E$5,IFERROR(VALUE(SUBSTITUTE(F524,"/","")),0)))</f>
        <v>1</v>
      </c>
      <c r="I524" s="2">
        <f t="shared" si="56"/>
        <v>0</v>
      </c>
      <c r="J524" s="2">
        <f t="shared" si="57"/>
        <v>0</v>
      </c>
      <c r="K524" s="2">
        <f t="shared" si="58"/>
        <v>0</v>
      </c>
      <c r="L524" s="2">
        <f t="shared" si="59"/>
        <v>0</v>
      </c>
      <c r="M524" s="2">
        <f t="shared" si="60"/>
        <v>0</v>
      </c>
      <c r="N524" s="2">
        <f t="shared" si="61"/>
        <v>1</v>
      </c>
      <c r="O524" s="2">
        <f t="shared" si="62"/>
        <v>1</v>
      </c>
    </row>
    <row r="525" spans="1:15" x14ac:dyDescent="0.35">
      <c r="A525" s="2" t="s">
        <v>93</v>
      </c>
      <c r="B525" s="2" t="s">
        <v>47</v>
      </c>
      <c r="C525" s="2" t="s">
        <v>657</v>
      </c>
      <c r="D525" s="2" t="s">
        <v>690</v>
      </c>
      <c r="E525" s="2" t="s">
        <v>710</v>
      </c>
      <c r="F525" s="2" t="s">
        <v>660</v>
      </c>
      <c r="G525" s="2" t="s">
        <v>661</v>
      </c>
      <c r="H525" s="2">
        <f>IF(C525="Dynasty Autographs",Calculator!$E$4,IF(C525="Debut Day Inscriptions",Calculator!$E$5,IFERROR(VALUE(SUBSTITUTE(F525,"/","")),0)))</f>
        <v>1</v>
      </c>
      <c r="I525" s="2">
        <f t="shared" si="56"/>
        <v>0</v>
      </c>
      <c r="J525" s="2">
        <f t="shared" si="57"/>
        <v>0</v>
      </c>
      <c r="K525" s="2">
        <f t="shared" si="58"/>
        <v>0</v>
      </c>
      <c r="L525" s="2">
        <f t="shared" si="59"/>
        <v>0</v>
      </c>
      <c r="M525" s="2">
        <f t="shared" si="60"/>
        <v>0</v>
      </c>
      <c r="N525" s="2">
        <f t="shared" si="61"/>
        <v>1</v>
      </c>
      <c r="O525" s="2">
        <f t="shared" si="62"/>
        <v>1</v>
      </c>
    </row>
    <row r="526" spans="1:15" x14ac:dyDescent="0.35">
      <c r="A526" s="2" t="s">
        <v>711</v>
      </c>
      <c r="B526" s="2" t="s">
        <v>52</v>
      </c>
      <c r="C526" s="2" t="s">
        <v>712</v>
      </c>
      <c r="D526" s="2" t="s">
        <v>713</v>
      </c>
      <c r="E526" s="2" t="s">
        <v>714</v>
      </c>
      <c r="F526" s="2" t="s">
        <v>715</v>
      </c>
      <c r="G526" s="2" t="s">
        <v>716</v>
      </c>
      <c r="H526" s="2">
        <f>IF(C526="Dynasty Autographs",Calculator!$E$4,IF(C526="Debut Day Inscriptions",Calculator!$E$5,IFERROR(VALUE(SUBSTITUTE(F526,"/","")),0)))</f>
        <v>99</v>
      </c>
      <c r="I526" s="2">
        <f t="shared" si="56"/>
        <v>99</v>
      </c>
      <c r="J526" s="2">
        <f t="shared" si="57"/>
        <v>50</v>
      </c>
      <c r="K526" s="2">
        <f t="shared" si="58"/>
        <v>25</v>
      </c>
      <c r="L526" s="2">
        <f t="shared" si="59"/>
        <v>10</v>
      </c>
      <c r="M526" s="2">
        <f t="shared" si="60"/>
        <v>5</v>
      </c>
      <c r="N526" s="2">
        <v>1</v>
      </c>
      <c r="O526" s="2">
        <f t="shared" si="62"/>
        <v>190</v>
      </c>
    </row>
    <row r="527" spans="1:15" x14ac:dyDescent="0.35">
      <c r="A527" s="2" t="s">
        <v>711</v>
      </c>
      <c r="B527" s="2" t="s">
        <v>52</v>
      </c>
      <c r="C527" s="2" t="s">
        <v>712</v>
      </c>
      <c r="D527" s="2" t="s">
        <v>713</v>
      </c>
      <c r="E527" s="2" t="s">
        <v>717</v>
      </c>
      <c r="F527" s="2" t="s">
        <v>715</v>
      </c>
      <c r="G527" s="2" t="s">
        <v>716</v>
      </c>
      <c r="H527" s="2">
        <f>IF(C527="Dynasty Autographs",Calculator!$E$4,IF(C527="Debut Day Inscriptions",Calculator!$E$5,IFERROR(VALUE(SUBSTITUTE(F527,"/","")),0)))</f>
        <v>99</v>
      </c>
      <c r="I527" s="2">
        <f t="shared" si="56"/>
        <v>99</v>
      </c>
      <c r="J527" s="2">
        <f t="shared" si="57"/>
        <v>50</v>
      </c>
      <c r="K527" s="2">
        <f t="shared" si="58"/>
        <v>25</v>
      </c>
      <c r="L527" s="2">
        <f t="shared" si="59"/>
        <v>10</v>
      </c>
      <c r="M527" s="2">
        <f t="shared" si="60"/>
        <v>5</v>
      </c>
      <c r="N527" s="2">
        <v>1</v>
      </c>
      <c r="O527" s="2">
        <f t="shared" si="62"/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tabSelected="1" workbookViewId="0">
      <pane ySplit="3" topLeftCell="A4" activePane="bottomLeft" state="frozen"/>
      <selection pane="bottomLeft" activeCell="C3" sqref="C3"/>
    </sheetView>
  </sheetViews>
  <sheetFormatPr defaultRowHeight="14.5" x14ac:dyDescent="0.35"/>
  <cols>
    <col min="1" max="1" width="49.36328125" bestFit="1" customWidth="1"/>
    <col min="2" max="2" width="22" customWidth="1"/>
    <col min="3" max="3" width="54" customWidth="1"/>
    <col min="4" max="5" width="22" customWidth="1"/>
    <col min="6" max="6" width="52" customWidth="1"/>
  </cols>
  <sheetData>
    <row r="1" spans="1:6" ht="21" x14ac:dyDescent="0.5">
      <c r="A1" s="18" t="s">
        <v>758</v>
      </c>
      <c r="B1" s="15"/>
      <c r="C1" s="15"/>
      <c r="D1" s="15"/>
      <c r="E1" s="15"/>
      <c r="F1" s="15"/>
    </row>
    <row r="2" spans="1:6" x14ac:dyDescent="0.35">
      <c r="A2" s="16" t="s">
        <v>718</v>
      </c>
      <c r="B2" s="15"/>
      <c r="C2" s="15"/>
      <c r="D2" s="15"/>
      <c r="E2" s="15"/>
      <c r="F2" s="15"/>
    </row>
    <row r="3" spans="1:6" ht="15.5" x14ac:dyDescent="0.35">
      <c r="A3" s="3" t="s">
        <v>719</v>
      </c>
      <c r="D3" s="17" t="s">
        <v>720</v>
      </c>
      <c r="E3" s="15"/>
      <c r="F3" s="15"/>
    </row>
    <row r="4" spans="1:6" x14ac:dyDescent="0.35">
      <c r="A4" s="4" t="s">
        <v>0</v>
      </c>
      <c r="B4" s="5" t="s">
        <v>51</v>
      </c>
      <c r="D4" s="4" t="s">
        <v>721</v>
      </c>
      <c r="E4" s="5">
        <v>10</v>
      </c>
    </row>
    <row r="5" spans="1:6" x14ac:dyDescent="0.35">
      <c r="A5" s="4" t="s">
        <v>1</v>
      </c>
      <c r="B5" s="5"/>
      <c r="D5" s="4" t="s">
        <v>722</v>
      </c>
      <c r="E5" s="5">
        <v>10</v>
      </c>
    </row>
    <row r="6" spans="1:6" x14ac:dyDescent="0.35">
      <c r="A6" s="4" t="s">
        <v>723</v>
      </c>
      <c r="B6" s="5">
        <v>1</v>
      </c>
    </row>
    <row r="7" spans="1:6" x14ac:dyDescent="0.35">
      <c r="A7" s="4" t="s">
        <v>724</v>
      </c>
      <c r="B7" s="5">
        <v>5</v>
      </c>
    </row>
    <row r="8" spans="1:6" x14ac:dyDescent="0.35">
      <c r="A8" s="4" t="s">
        <v>725</v>
      </c>
      <c r="B8" s="5">
        <v>5</v>
      </c>
    </row>
    <row r="10" spans="1:6" ht="15.5" x14ac:dyDescent="0.35">
      <c r="A10" s="3" t="s">
        <v>726</v>
      </c>
    </row>
    <row r="11" spans="1:6" ht="29" x14ac:dyDescent="0.35">
      <c r="A11" s="4" t="s">
        <v>727</v>
      </c>
      <c r="B11" s="6">
        <f>IF(B5="",COUNTIFS(Checklist!$A:$A,B4),COUNTIFS(Checklist!$A:$A,B4,Checklist!$B:$B,B5))</f>
        <v>9</v>
      </c>
      <c r="C11" s="7" t="s">
        <v>728</v>
      </c>
    </row>
    <row r="12" spans="1:6" ht="29" x14ac:dyDescent="0.35">
      <c r="A12" s="4" t="s">
        <v>729</v>
      </c>
      <c r="B12" s="8">
        <f>IF(B5="",SUMIFS(Checklist!$O:$O,Checklist!$A:$A,B4),SUMIFS(Checklist!$O:$O,Checklist!$A:$A,B4,Checklist!$B:$B,B5))</f>
        <v>129</v>
      </c>
      <c r="C12" s="7" t="s">
        <v>730</v>
      </c>
    </row>
    <row r="13" spans="1:6" ht="29" x14ac:dyDescent="0.35">
      <c r="A13" s="4" t="s">
        <v>731</v>
      </c>
      <c r="B13" s="9">
        <f>IFERROR(B12/B17,0)</f>
        <v>1.591806515301086E-2</v>
      </c>
      <c r="C13" s="7" t="s">
        <v>732</v>
      </c>
    </row>
    <row r="14" spans="1:6" ht="29" x14ac:dyDescent="0.35">
      <c r="A14" s="4" t="s">
        <v>733</v>
      </c>
      <c r="B14" s="10">
        <f>IFERROR(1-POWER(1-B13,B6),0)</f>
        <v>1.5918065153010863E-2</v>
      </c>
      <c r="C14" s="7" t="s">
        <v>734</v>
      </c>
    </row>
    <row r="15" spans="1:6" ht="29" x14ac:dyDescent="0.35">
      <c r="A15" s="4" t="s">
        <v>735</v>
      </c>
      <c r="B15" s="10">
        <f>IFERROR(1-POWER(1-B13,B6*B7),0)</f>
        <v>7.7096491742888462E-2</v>
      </c>
      <c r="C15" s="7" t="s">
        <v>736</v>
      </c>
    </row>
    <row r="16" spans="1:6" ht="29" x14ac:dyDescent="0.35">
      <c r="A16" s="4" t="s">
        <v>737</v>
      </c>
      <c r="B16" s="10">
        <f>IFERROR(1-POWER(1-B13,B6*B8),0)</f>
        <v>7.7096491742888462E-2</v>
      </c>
      <c r="C16" s="7" t="s">
        <v>738</v>
      </c>
    </row>
    <row r="17" spans="1:6" ht="29" x14ac:dyDescent="0.35">
      <c r="A17" s="4" t="s">
        <v>739</v>
      </c>
      <c r="B17" s="8">
        <f>SUM(Checklist!$O:$O)</f>
        <v>8104</v>
      </c>
      <c r="C17" s="7" t="s">
        <v>740</v>
      </c>
    </row>
    <row r="19" spans="1:6" ht="15.5" x14ac:dyDescent="0.35">
      <c r="A19" s="14" t="s">
        <v>741</v>
      </c>
      <c r="B19" s="15"/>
      <c r="C19" s="15"/>
      <c r="D19" s="15"/>
      <c r="E19" s="15"/>
      <c r="F19" s="15"/>
    </row>
    <row r="20" spans="1:6" x14ac:dyDescent="0.35">
      <c r="A20" s="1" t="s">
        <v>742</v>
      </c>
      <c r="B20" s="1" t="s">
        <v>743</v>
      </c>
      <c r="C20" s="1" t="s">
        <v>744</v>
      </c>
      <c r="D20" s="1" t="s">
        <v>745</v>
      </c>
      <c r="E20" s="1" t="s">
        <v>746</v>
      </c>
      <c r="F20" s="1" t="s">
        <v>747</v>
      </c>
    </row>
    <row r="21" spans="1:6" ht="29" x14ac:dyDescent="0.35">
      <c r="A21" t="s">
        <v>715</v>
      </c>
      <c r="B21" s="11">
        <f>IF(B5="",SUMIFS(Checklist!$I:$I,Checklist!$A:$A,B4),SUMIFS(Checklist!$I:$I,Checklist!$A:$A,B4,Checklist!$B:$B,B5))</f>
        <v>0</v>
      </c>
      <c r="C21" s="12">
        <f t="shared" ref="C21:C26" si="0">IFERROR(B21/$B$17,0)</f>
        <v>0</v>
      </c>
      <c r="D21" s="13">
        <f>IFERROR(1-POWER(1-C21,B6),0)</f>
        <v>0</v>
      </c>
      <c r="E21" s="13">
        <f>IFERROR(1-POWER(1-C21,B6*B7),0)</f>
        <v>0</v>
      </c>
      <c r="F21" s="7" t="s">
        <v>748</v>
      </c>
    </row>
    <row r="22" spans="1:6" ht="29" x14ac:dyDescent="0.35">
      <c r="A22" t="s">
        <v>749</v>
      </c>
      <c r="B22" s="11">
        <f>IF(B5="",SUMIFS(Checklist!$J:$J,Checklist!$A:$A,B4),SUMIFS(Checklist!$J:$J,Checklist!$A:$A,B4,Checklist!$B:$B,B5))</f>
        <v>0</v>
      </c>
      <c r="C22" s="12">
        <f t="shared" si="0"/>
        <v>0</v>
      </c>
      <c r="D22" s="13">
        <f>IFERROR(1-POWER(1-C22,B6),0)</f>
        <v>0</v>
      </c>
      <c r="E22" s="13">
        <f>IFERROR(1-POWER(1-C22,B6*B7),0)</f>
        <v>0</v>
      </c>
      <c r="F22" s="7" t="s">
        <v>750</v>
      </c>
    </row>
    <row r="23" spans="1:6" ht="29" x14ac:dyDescent="0.35">
      <c r="A23" t="s">
        <v>751</v>
      </c>
      <c r="B23" s="11">
        <f>IF(B5="",SUMIFS(Checklist!$K:$K,Checklist!$A:$A,B4),SUMIFS(Checklist!$K:$K,Checklist!$A:$A,B4,Checklist!$B:$B,B5))</f>
        <v>0</v>
      </c>
      <c r="C23" s="12">
        <f t="shared" si="0"/>
        <v>0</v>
      </c>
      <c r="D23" s="13">
        <f>IFERROR(1-POWER(1-C23,B6),0)</f>
        <v>0</v>
      </c>
      <c r="E23" s="13">
        <f>IFERROR(1-POWER(1-C23,B6*B7),0)</f>
        <v>0</v>
      </c>
      <c r="F23" s="7" t="s">
        <v>752</v>
      </c>
    </row>
    <row r="24" spans="1:6" ht="29" x14ac:dyDescent="0.35">
      <c r="A24" t="s">
        <v>20</v>
      </c>
      <c r="B24" s="11">
        <f>IF(B5="",SUMIFS(Checklist!$L:$L,Checklist!$A:$A,B4),SUMIFS(Checklist!$L:$L,Checklist!$A:$A,B4,Checklist!$B:$B,B5))</f>
        <v>80</v>
      </c>
      <c r="C24" s="12">
        <f t="shared" si="0"/>
        <v>9.8716683119447184E-3</v>
      </c>
      <c r="D24" s="13">
        <f>IFERROR(1-POWER(1-C24,B6),0)</f>
        <v>9.8716683119447479E-3</v>
      </c>
      <c r="E24" s="13">
        <f>IFERROR(1-POWER(1-C24,B6*B7),0)</f>
        <v>4.8393415743014812E-2</v>
      </c>
      <c r="F24" s="7" t="s">
        <v>753</v>
      </c>
    </row>
    <row r="25" spans="1:6" ht="29" x14ac:dyDescent="0.35">
      <c r="A25" t="s">
        <v>754</v>
      </c>
      <c r="B25" s="11">
        <f>IF(B5="",SUMIFS(Checklist!$M:$M,Checklist!$A:$A,B4),SUMIFS(Checklist!$M:$M,Checklist!$A:$A,B4,Checklist!$B:$B,B5))</f>
        <v>40</v>
      </c>
      <c r="C25" s="12">
        <f t="shared" si="0"/>
        <v>4.9358341559723592E-3</v>
      </c>
      <c r="D25" s="13">
        <f>IFERROR(1-POWER(1-C25,B6),0)</f>
        <v>4.9358341559723184E-3</v>
      </c>
      <c r="E25" s="13">
        <f>IFERROR(1-POWER(1-C25,B6*B7),0)</f>
        <v>2.4436745717555053E-2</v>
      </c>
      <c r="F25" s="7" t="s">
        <v>755</v>
      </c>
    </row>
    <row r="26" spans="1:6" ht="29" x14ac:dyDescent="0.35">
      <c r="A26" t="s">
        <v>756</v>
      </c>
      <c r="B26" s="11">
        <v>1</v>
      </c>
      <c r="C26" s="13">
        <f t="shared" si="0"/>
        <v>1.2339585389930897E-4</v>
      </c>
      <c r="D26" s="13">
        <f>IFERROR(1-POWER(1-C26,B6),0)</f>
        <v>1.2339585389931074E-4</v>
      </c>
      <c r="E26" s="13">
        <f>IFERROR(1-POWER(1-C26,B6*B7),0)</f>
        <v>6.1682702291665503E-4</v>
      </c>
      <c r="F26" s="7" t="s">
        <v>757</v>
      </c>
    </row>
  </sheetData>
  <mergeCells count="4">
    <mergeCell ref="A19:F19"/>
    <mergeCell ref="A2:F2"/>
    <mergeCell ref="D3:F3"/>
    <mergeCell ref="A1:F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Lists!$A$1:$A$120</xm:f>
          </x14:formula1>
          <xm:sqref>B4</xm:sqref>
        </x14:dataValidation>
        <x14:dataValidation type="list" allowBlank="1" xr:uid="{00000000-0002-0000-0100-000001000000}">
          <x14:formula1>
            <xm:f>Lists!$B$1:$B$26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0"/>
  <sheetViews>
    <sheetView workbookViewId="0"/>
  </sheetViews>
  <sheetFormatPr defaultRowHeight="14.5" x14ac:dyDescent="0.35"/>
  <sheetData>
    <row r="1" spans="1:2" x14ac:dyDescent="0.35">
      <c r="A1" t="s">
        <v>692</v>
      </c>
      <c r="B1" t="s">
        <v>16</v>
      </c>
    </row>
    <row r="2" spans="1:2" x14ac:dyDescent="0.35">
      <c r="A2" t="s">
        <v>331</v>
      </c>
      <c r="B2" t="s">
        <v>655</v>
      </c>
    </row>
    <row r="3" spans="1:2" x14ac:dyDescent="0.35">
      <c r="A3" t="s">
        <v>341</v>
      </c>
      <c r="B3" t="s">
        <v>87</v>
      </c>
    </row>
    <row r="4" spans="1:2" x14ac:dyDescent="0.35">
      <c r="A4" t="s">
        <v>15</v>
      </c>
      <c r="B4" t="s">
        <v>33</v>
      </c>
    </row>
    <row r="5" spans="1:2" x14ac:dyDescent="0.35">
      <c r="A5" t="s">
        <v>22</v>
      </c>
      <c r="B5" t="s">
        <v>139</v>
      </c>
    </row>
    <row r="6" spans="1:2" x14ac:dyDescent="0.35">
      <c r="A6" t="s">
        <v>346</v>
      </c>
      <c r="B6" t="s">
        <v>113</v>
      </c>
    </row>
    <row r="7" spans="1:2" x14ac:dyDescent="0.35">
      <c r="A7" t="s">
        <v>565</v>
      </c>
      <c r="B7" t="s">
        <v>142</v>
      </c>
    </row>
    <row r="8" spans="1:2" x14ac:dyDescent="0.35">
      <c r="A8" t="s">
        <v>177</v>
      </c>
      <c r="B8" t="s">
        <v>36</v>
      </c>
    </row>
    <row r="9" spans="1:2" x14ac:dyDescent="0.35">
      <c r="A9" t="s">
        <v>467</v>
      </c>
      <c r="B9" t="s">
        <v>650</v>
      </c>
    </row>
    <row r="10" spans="1:2" x14ac:dyDescent="0.35">
      <c r="A10" t="s">
        <v>172</v>
      </c>
      <c r="B10" t="s">
        <v>52</v>
      </c>
    </row>
    <row r="11" spans="1:2" x14ac:dyDescent="0.35">
      <c r="A11" t="s">
        <v>396</v>
      </c>
      <c r="B11" t="s">
        <v>26</v>
      </c>
    </row>
    <row r="12" spans="1:2" x14ac:dyDescent="0.35">
      <c r="A12" t="s">
        <v>25</v>
      </c>
      <c r="B12" t="s">
        <v>136</v>
      </c>
    </row>
    <row r="13" spans="1:2" x14ac:dyDescent="0.35">
      <c r="A13" t="s">
        <v>350</v>
      </c>
      <c r="B13" t="s">
        <v>101</v>
      </c>
    </row>
    <row r="14" spans="1:2" x14ac:dyDescent="0.35">
      <c r="A14" t="s">
        <v>357</v>
      </c>
      <c r="B14" t="s">
        <v>509</v>
      </c>
    </row>
    <row r="15" spans="1:2" x14ac:dyDescent="0.35">
      <c r="A15" t="s">
        <v>363</v>
      </c>
      <c r="B15" t="s">
        <v>23</v>
      </c>
    </row>
    <row r="16" spans="1:2" x14ac:dyDescent="0.35">
      <c r="A16" t="s">
        <v>474</v>
      </c>
      <c r="B16" t="s">
        <v>47</v>
      </c>
    </row>
    <row r="17" spans="1:2" x14ac:dyDescent="0.35">
      <c r="A17" t="s">
        <v>367</v>
      </c>
      <c r="B17" t="s">
        <v>71</v>
      </c>
    </row>
    <row r="18" spans="1:2" x14ac:dyDescent="0.35">
      <c r="A18" t="s">
        <v>67</v>
      </c>
      <c r="B18" t="s">
        <v>63</v>
      </c>
    </row>
    <row r="19" spans="1:2" x14ac:dyDescent="0.35">
      <c r="A19" t="s">
        <v>372</v>
      </c>
      <c r="B19" t="s">
        <v>647</v>
      </c>
    </row>
    <row r="20" spans="1:2" x14ac:dyDescent="0.35">
      <c r="A20" t="s">
        <v>581</v>
      </c>
      <c r="B20" t="s">
        <v>693</v>
      </c>
    </row>
    <row r="21" spans="1:2" x14ac:dyDescent="0.35">
      <c r="A21" t="s">
        <v>35</v>
      </c>
      <c r="B21" t="s">
        <v>351</v>
      </c>
    </row>
    <row r="22" spans="1:2" x14ac:dyDescent="0.35">
      <c r="A22" t="s">
        <v>32</v>
      </c>
      <c r="B22" t="s">
        <v>39</v>
      </c>
    </row>
    <row r="23" spans="1:2" x14ac:dyDescent="0.35">
      <c r="A23" t="s">
        <v>30</v>
      </c>
      <c r="B23" t="s">
        <v>42</v>
      </c>
    </row>
    <row r="24" spans="1:2" x14ac:dyDescent="0.35">
      <c r="A24" t="s">
        <v>480</v>
      </c>
      <c r="B24" t="s">
        <v>338</v>
      </c>
    </row>
    <row r="25" spans="1:2" x14ac:dyDescent="0.35">
      <c r="A25" t="s">
        <v>649</v>
      </c>
      <c r="B25" t="s">
        <v>76</v>
      </c>
    </row>
    <row r="26" spans="1:2" x14ac:dyDescent="0.35">
      <c r="A26" t="s">
        <v>586</v>
      </c>
      <c r="B26" t="s">
        <v>111</v>
      </c>
    </row>
    <row r="27" spans="1:2" x14ac:dyDescent="0.35">
      <c r="A27" t="s">
        <v>666</v>
      </c>
    </row>
    <row r="28" spans="1:2" x14ac:dyDescent="0.35">
      <c r="A28" t="s">
        <v>484</v>
      </c>
    </row>
    <row r="29" spans="1:2" x14ac:dyDescent="0.35">
      <c r="A29" t="s">
        <v>378</v>
      </c>
    </row>
    <row r="30" spans="1:2" x14ac:dyDescent="0.35">
      <c r="A30" t="s">
        <v>591</v>
      </c>
    </row>
    <row r="31" spans="1:2" x14ac:dyDescent="0.35">
      <c r="A31" t="s">
        <v>70</v>
      </c>
    </row>
    <row r="32" spans="1:2" x14ac:dyDescent="0.35">
      <c r="A32" t="s">
        <v>157</v>
      </c>
    </row>
    <row r="33" spans="1:1" x14ac:dyDescent="0.35">
      <c r="A33" t="s">
        <v>389</v>
      </c>
    </row>
    <row r="34" spans="1:1" x14ac:dyDescent="0.35">
      <c r="A34" t="s">
        <v>668</v>
      </c>
    </row>
    <row r="35" spans="1:1" x14ac:dyDescent="0.35">
      <c r="A35" t="s">
        <v>107</v>
      </c>
    </row>
    <row r="36" spans="1:1" x14ac:dyDescent="0.35">
      <c r="A36" t="s">
        <v>196</v>
      </c>
    </row>
    <row r="37" spans="1:1" x14ac:dyDescent="0.35">
      <c r="A37" t="s">
        <v>103</v>
      </c>
    </row>
    <row r="38" spans="1:1" x14ac:dyDescent="0.35">
      <c r="A38" t="s">
        <v>309</v>
      </c>
    </row>
    <row r="39" spans="1:1" x14ac:dyDescent="0.35">
      <c r="A39" t="s">
        <v>105</v>
      </c>
    </row>
    <row r="40" spans="1:1" x14ac:dyDescent="0.35">
      <c r="A40" t="s">
        <v>634</v>
      </c>
    </row>
    <row r="41" spans="1:1" x14ac:dyDescent="0.35">
      <c r="A41" t="s">
        <v>494</v>
      </c>
    </row>
    <row r="42" spans="1:1" x14ac:dyDescent="0.35">
      <c r="A42" t="s">
        <v>41</v>
      </c>
    </row>
    <row r="43" spans="1:1" x14ac:dyDescent="0.35">
      <c r="A43" t="s">
        <v>73</v>
      </c>
    </row>
    <row r="44" spans="1:1" x14ac:dyDescent="0.35">
      <c r="A44" t="s">
        <v>211</v>
      </c>
    </row>
    <row r="45" spans="1:1" x14ac:dyDescent="0.35">
      <c r="A45" t="s">
        <v>501</v>
      </c>
    </row>
    <row r="46" spans="1:1" x14ac:dyDescent="0.35">
      <c r="A46" t="s">
        <v>75</v>
      </c>
    </row>
    <row r="47" spans="1:1" x14ac:dyDescent="0.35">
      <c r="A47" t="s">
        <v>28</v>
      </c>
    </row>
    <row r="48" spans="1:1" x14ac:dyDescent="0.35">
      <c r="A48" t="s">
        <v>44</v>
      </c>
    </row>
    <row r="49" spans="1:1" x14ac:dyDescent="0.35">
      <c r="A49" t="s">
        <v>78</v>
      </c>
    </row>
    <row r="50" spans="1:1" x14ac:dyDescent="0.35">
      <c r="A50" t="s">
        <v>159</v>
      </c>
    </row>
    <row r="51" spans="1:1" x14ac:dyDescent="0.35">
      <c r="A51" t="s">
        <v>508</v>
      </c>
    </row>
    <row r="52" spans="1:1" x14ac:dyDescent="0.35">
      <c r="A52" t="s">
        <v>405</v>
      </c>
    </row>
    <row r="53" spans="1:1" x14ac:dyDescent="0.35">
      <c r="A53" t="s">
        <v>82</v>
      </c>
    </row>
    <row r="54" spans="1:1" x14ac:dyDescent="0.35">
      <c r="A54" t="s">
        <v>671</v>
      </c>
    </row>
    <row r="55" spans="1:1" x14ac:dyDescent="0.35">
      <c r="A55" t="s">
        <v>80</v>
      </c>
    </row>
    <row r="56" spans="1:1" x14ac:dyDescent="0.35">
      <c r="A56" t="s">
        <v>640</v>
      </c>
    </row>
    <row r="57" spans="1:1" x14ac:dyDescent="0.35">
      <c r="A57" t="s">
        <v>154</v>
      </c>
    </row>
    <row r="58" spans="1:1" x14ac:dyDescent="0.35">
      <c r="A58" t="s">
        <v>407</v>
      </c>
    </row>
    <row r="59" spans="1:1" x14ac:dyDescent="0.35">
      <c r="A59" t="s">
        <v>417</v>
      </c>
    </row>
    <row r="60" spans="1:1" x14ac:dyDescent="0.35">
      <c r="A60" t="s">
        <v>115</v>
      </c>
    </row>
    <row r="61" spans="1:1" x14ac:dyDescent="0.35">
      <c r="A61" t="s">
        <v>654</v>
      </c>
    </row>
    <row r="62" spans="1:1" x14ac:dyDescent="0.35">
      <c r="A62" t="s">
        <v>512</v>
      </c>
    </row>
    <row r="63" spans="1:1" x14ac:dyDescent="0.35">
      <c r="A63" t="s">
        <v>46</v>
      </c>
    </row>
    <row r="64" spans="1:1" x14ac:dyDescent="0.35">
      <c r="A64" t="s">
        <v>49</v>
      </c>
    </row>
    <row r="65" spans="1:1" x14ac:dyDescent="0.35">
      <c r="A65" t="s">
        <v>84</v>
      </c>
    </row>
    <row r="66" spans="1:1" x14ac:dyDescent="0.35">
      <c r="A66" t="s">
        <v>646</v>
      </c>
    </row>
    <row r="67" spans="1:1" x14ac:dyDescent="0.35">
      <c r="A67" t="s">
        <v>711</v>
      </c>
    </row>
    <row r="68" spans="1:1" x14ac:dyDescent="0.35">
      <c r="A68" t="s">
        <v>421</v>
      </c>
    </row>
    <row r="69" spans="1:1" x14ac:dyDescent="0.35">
      <c r="A69" t="s">
        <v>51</v>
      </c>
    </row>
    <row r="70" spans="1:1" x14ac:dyDescent="0.35">
      <c r="A70" t="s">
        <v>54</v>
      </c>
    </row>
    <row r="71" spans="1:1" x14ac:dyDescent="0.35">
      <c r="A71" t="s">
        <v>230</v>
      </c>
    </row>
    <row r="72" spans="1:1" x14ac:dyDescent="0.35">
      <c r="A72" t="s">
        <v>152</v>
      </c>
    </row>
    <row r="73" spans="1:1" x14ac:dyDescent="0.35">
      <c r="A73" t="s">
        <v>430</v>
      </c>
    </row>
    <row r="74" spans="1:1" x14ac:dyDescent="0.35">
      <c r="A74" t="s">
        <v>219</v>
      </c>
    </row>
    <row r="75" spans="1:1" x14ac:dyDescent="0.35">
      <c r="A75" t="s">
        <v>519</v>
      </c>
    </row>
    <row r="76" spans="1:1" x14ac:dyDescent="0.35">
      <c r="A76" t="s">
        <v>118</v>
      </c>
    </row>
    <row r="77" spans="1:1" x14ac:dyDescent="0.35">
      <c r="A77" t="s">
        <v>443</v>
      </c>
    </row>
    <row r="78" spans="1:1" x14ac:dyDescent="0.35">
      <c r="A78" t="s">
        <v>161</v>
      </c>
    </row>
    <row r="79" spans="1:1" x14ac:dyDescent="0.35">
      <c r="A79" t="s">
        <v>440</v>
      </c>
    </row>
    <row r="80" spans="1:1" x14ac:dyDescent="0.35">
      <c r="A80" t="s">
        <v>120</v>
      </c>
    </row>
    <row r="81" spans="1:1" x14ac:dyDescent="0.35">
      <c r="A81" t="s">
        <v>122</v>
      </c>
    </row>
    <row r="82" spans="1:1" x14ac:dyDescent="0.35">
      <c r="A82" t="s">
        <v>126</v>
      </c>
    </row>
    <row r="83" spans="1:1" x14ac:dyDescent="0.35">
      <c r="A83" t="s">
        <v>636</v>
      </c>
    </row>
    <row r="84" spans="1:1" x14ac:dyDescent="0.35">
      <c r="A84" t="s">
        <v>38</v>
      </c>
    </row>
    <row r="85" spans="1:1" x14ac:dyDescent="0.35">
      <c r="A85" t="s">
        <v>128</v>
      </c>
    </row>
    <row r="86" spans="1:1" x14ac:dyDescent="0.35">
      <c r="A86" t="s">
        <v>86</v>
      </c>
    </row>
    <row r="87" spans="1:1" x14ac:dyDescent="0.35">
      <c r="A87" t="s">
        <v>56</v>
      </c>
    </row>
    <row r="88" spans="1:1" x14ac:dyDescent="0.35">
      <c r="A88" t="s">
        <v>89</v>
      </c>
    </row>
    <row r="89" spans="1:1" x14ac:dyDescent="0.35">
      <c r="A89" t="s">
        <v>644</v>
      </c>
    </row>
    <row r="90" spans="1:1" x14ac:dyDescent="0.35">
      <c r="A90" t="s">
        <v>124</v>
      </c>
    </row>
    <row r="91" spans="1:1" x14ac:dyDescent="0.35">
      <c r="A91" t="s">
        <v>260</v>
      </c>
    </row>
    <row r="92" spans="1:1" x14ac:dyDescent="0.35">
      <c r="A92" t="s">
        <v>638</v>
      </c>
    </row>
    <row r="93" spans="1:1" x14ac:dyDescent="0.35">
      <c r="A93" t="s">
        <v>130</v>
      </c>
    </row>
    <row r="94" spans="1:1" x14ac:dyDescent="0.35">
      <c r="A94" t="s">
        <v>148</v>
      </c>
    </row>
    <row r="95" spans="1:1" x14ac:dyDescent="0.35">
      <c r="A95" t="s">
        <v>531</v>
      </c>
    </row>
    <row r="96" spans="1:1" x14ac:dyDescent="0.35">
      <c r="A96" t="s">
        <v>132</v>
      </c>
    </row>
    <row r="97" spans="1:1" x14ac:dyDescent="0.35">
      <c r="A97" t="s">
        <v>614</v>
      </c>
    </row>
    <row r="98" spans="1:1" x14ac:dyDescent="0.35">
      <c r="A98" t="s">
        <v>267</v>
      </c>
    </row>
    <row r="99" spans="1:1" x14ac:dyDescent="0.35">
      <c r="A99" t="s">
        <v>58</v>
      </c>
    </row>
    <row r="100" spans="1:1" x14ac:dyDescent="0.35">
      <c r="A100" t="s">
        <v>134</v>
      </c>
    </row>
    <row r="101" spans="1:1" x14ac:dyDescent="0.35">
      <c r="A101" t="s">
        <v>619</v>
      </c>
    </row>
    <row r="102" spans="1:1" x14ac:dyDescent="0.35">
      <c r="A102" t="s">
        <v>548</v>
      </c>
    </row>
    <row r="103" spans="1:1" x14ac:dyDescent="0.35">
      <c r="A103" t="s">
        <v>138</v>
      </c>
    </row>
    <row r="104" spans="1:1" x14ac:dyDescent="0.35">
      <c r="A104" t="s">
        <v>297</v>
      </c>
    </row>
    <row r="105" spans="1:1" x14ac:dyDescent="0.35">
      <c r="A105" t="s">
        <v>141</v>
      </c>
    </row>
    <row r="106" spans="1:1" x14ac:dyDescent="0.35">
      <c r="A106" t="s">
        <v>540</v>
      </c>
    </row>
    <row r="107" spans="1:1" x14ac:dyDescent="0.35">
      <c r="A107" t="s">
        <v>630</v>
      </c>
    </row>
    <row r="108" spans="1:1" x14ac:dyDescent="0.35">
      <c r="A108" t="s">
        <v>60</v>
      </c>
    </row>
    <row r="109" spans="1:1" x14ac:dyDescent="0.35">
      <c r="A109" t="s">
        <v>543</v>
      </c>
    </row>
    <row r="110" spans="1:1" x14ac:dyDescent="0.35">
      <c r="A110" t="s">
        <v>622</v>
      </c>
    </row>
    <row r="111" spans="1:1" x14ac:dyDescent="0.35">
      <c r="A111" t="s">
        <v>505</v>
      </c>
    </row>
    <row r="112" spans="1:1" x14ac:dyDescent="0.35">
      <c r="A112" t="s">
        <v>91</v>
      </c>
    </row>
    <row r="113" spans="1:1" x14ac:dyDescent="0.35">
      <c r="A113" t="s">
        <v>144</v>
      </c>
    </row>
    <row r="114" spans="1:1" x14ac:dyDescent="0.35">
      <c r="A114" t="s">
        <v>93</v>
      </c>
    </row>
    <row r="115" spans="1:1" x14ac:dyDescent="0.35">
      <c r="A115" t="s">
        <v>463</v>
      </c>
    </row>
    <row r="116" spans="1:1" x14ac:dyDescent="0.35">
      <c r="A116" t="s">
        <v>62</v>
      </c>
    </row>
    <row r="117" spans="1:1" x14ac:dyDescent="0.35">
      <c r="A117" t="s">
        <v>318</v>
      </c>
    </row>
    <row r="118" spans="1:1" x14ac:dyDescent="0.35">
      <c r="A118" t="s">
        <v>65</v>
      </c>
    </row>
    <row r="119" spans="1:1" x14ac:dyDescent="0.35">
      <c r="A119" t="s">
        <v>322</v>
      </c>
    </row>
    <row r="120" spans="1:1" x14ac:dyDescent="0.35">
      <c r="A120" t="s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</vt:lpstr>
      <vt:lpstr>Calculator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Edward Kaas</cp:lastModifiedBy>
  <dcterms:created xsi:type="dcterms:W3CDTF">2026-01-08T04:26:17Z</dcterms:created>
  <dcterms:modified xsi:type="dcterms:W3CDTF">2026-01-08T04:32:43Z</dcterms:modified>
</cp:coreProperties>
</file>